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iman\Downloads\"/>
    </mc:Choice>
  </mc:AlternateContent>
  <xr:revisionPtr revIDLastSave="0" documentId="13_ncr:1_{E3A99CD0-4929-465C-B0C2-7DCDD25A5B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Centers" sheetId="9" r:id="rId1"/>
  </sheets>
  <definedNames>
    <definedName name="_xlnm.Print_Titles" localSheetId="0">'All Centers'!$1:$7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9" l="1"/>
  <c r="J95" i="9"/>
  <c r="L95" i="9"/>
  <c r="N95" i="9"/>
  <c r="P95" i="9"/>
  <c r="R95" i="9"/>
  <c r="T95" i="9"/>
  <c r="V95" i="9"/>
  <c r="X95" i="9"/>
  <c r="Z95" i="9"/>
  <c r="H96" i="9"/>
  <c r="J96" i="9"/>
  <c r="L96" i="9"/>
  <c r="N96" i="9"/>
  <c r="P96" i="9"/>
  <c r="R96" i="9"/>
  <c r="T96" i="9"/>
  <c r="V96" i="9"/>
  <c r="X96" i="9"/>
  <c r="Z96" i="9"/>
  <c r="H97" i="9"/>
  <c r="J97" i="9"/>
  <c r="L97" i="9"/>
  <c r="N97" i="9"/>
  <c r="P97" i="9"/>
  <c r="R97" i="9"/>
  <c r="T97" i="9"/>
  <c r="V97" i="9"/>
  <c r="X97" i="9"/>
  <c r="Z97" i="9"/>
  <c r="H98" i="9"/>
  <c r="J98" i="9"/>
  <c r="L98" i="9"/>
  <c r="N98" i="9"/>
  <c r="P98" i="9"/>
  <c r="R98" i="9"/>
  <c r="T98" i="9"/>
  <c r="V98" i="9"/>
  <c r="Z98" i="9"/>
  <c r="H99" i="9"/>
  <c r="J99" i="9"/>
  <c r="L99" i="9"/>
  <c r="N99" i="9"/>
  <c r="P99" i="9"/>
  <c r="R99" i="9"/>
  <c r="T99" i="9"/>
  <c r="V99" i="9"/>
  <c r="X99" i="9"/>
  <c r="Z99" i="9"/>
  <c r="H100" i="9"/>
  <c r="J100" i="9"/>
  <c r="L100" i="9"/>
  <c r="N100" i="9"/>
  <c r="P100" i="9"/>
  <c r="R100" i="9"/>
  <c r="T100" i="9"/>
  <c r="V100" i="9"/>
  <c r="X100" i="9"/>
  <c r="Z100" i="9"/>
  <c r="H101" i="9"/>
  <c r="J101" i="9"/>
  <c r="L101" i="9"/>
  <c r="N101" i="9"/>
  <c r="P101" i="9"/>
  <c r="R101" i="9"/>
  <c r="T101" i="9"/>
  <c r="V101" i="9"/>
  <c r="X101" i="9"/>
  <c r="Z101" i="9"/>
  <c r="H102" i="9"/>
  <c r="J102" i="9"/>
  <c r="L102" i="9"/>
  <c r="N102" i="9"/>
  <c r="P102" i="9"/>
  <c r="R102" i="9"/>
  <c r="T102" i="9"/>
  <c r="V102" i="9"/>
  <c r="X102" i="9"/>
  <c r="Z102" i="9"/>
  <c r="H103" i="9"/>
  <c r="J103" i="9"/>
  <c r="L103" i="9"/>
  <c r="N103" i="9"/>
  <c r="P103" i="9"/>
  <c r="R103" i="9"/>
  <c r="T103" i="9"/>
  <c r="V103" i="9"/>
  <c r="X103" i="9"/>
  <c r="Z103" i="9"/>
  <c r="H104" i="9"/>
  <c r="J104" i="9"/>
  <c r="L104" i="9"/>
  <c r="N104" i="9"/>
  <c r="P104" i="9"/>
  <c r="R104" i="9"/>
  <c r="T104" i="9"/>
  <c r="V104" i="9"/>
  <c r="X104" i="9"/>
  <c r="Z104" i="9"/>
  <c r="H105" i="9"/>
  <c r="J105" i="9"/>
  <c r="L105" i="9"/>
  <c r="N105" i="9"/>
  <c r="P105" i="9"/>
  <c r="R105" i="9"/>
  <c r="T105" i="9"/>
  <c r="V105" i="9"/>
  <c r="X105" i="9"/>
  <c r="Z105" i="9"/>
  <c r="H106" i="9"/>
  <c r="J106" i="9"/>
  <c r="L106" i="9"/>
  <c r="N106" i="9"/>
  <c r="P106" i="9"/>
  <c r="R106" i="9"/>
  <c r="T106" i="9"/>
  <c r="V106" i="9"/>
  <c r="X106" i="9"/>
  <c r="Z106" i="9"/>
  <c r="H107" i="9"/>
  <c r="J107" i="9"/>
  <c r="L107" i="9"/>
  <c r="N107" i="9"/>
  <c r="P107" i="9"/>
  <c r="R107" i="9"/>
  <c r="T107" i="9"/>
  <c r="V107" i="9"/>
  <c r="X107" i="9"/>
  <c r="Z107" i="9"/>
  <c r="H108" i="9"/>
  <c r="J108" i="9"/>
  <c r="L108" i="9"/>
  <c r="N108" i="9"/>
  <c r="P108" i="9"/>
  <c r="R108" i="9"/>
  <c r="T108" i="9"/>
  <c r="V108" i="9"/>
  <c r="X108" i="9"/>
  <c r="Z108" i="9"/>
  <c r="H109" i="9"/>
  <c r="J109" i="9"/>
  <c r="L109" i="9"/>
  <c r="N109" i="9"/>
  <c r="P109" i="9"/>
  <c r="R109" i="9"/>
  <c r="T109" i="9"/>
  <c r="V109" i="9"/>
  <c r="X109" i="9"/>
  <c r="Z109" i="9"/>
  <c r="H161" i="9"/>
  <c r="J161" i="9"/>
  <c r="L161" i="9"/>
  <c r="N161" i="9"/>
  <c r="P161" i="9"/>
  <c r="R161" i="9"/>
  <c r="T161" i="9"/>
  <c r="V161" i="9"/>
  <c r="X161" i="9"/>
  <c r="Z161" i="9"/>
  <c r="AK161" i="9"/>
  <c r="H144" i="9"/>
  <c r="J144" i="9"/>
  <c r="L144" i="9"/>
  <c r="N144" i="9"/>
  <c r="P144" i="9"/>
  <c r="R144" i="9"/>
  <c r="T144" i="9"/>
  <c r="V144" i="9"/>
  <c r="X144" i="9"/>
  <c r="Z144" i="9"/>
  <c r="AK144" i="9"/>
  <c r="H127" i="9"/>
  <c r="J127" i="9"/>
  <c r="L127" i="9"/>
  <c r="N127" i="9"/>
  <c r="P127" i="9"/>
  <c r="R127" i="9"/>
  <c r="T127" i="9"/>
  <c r="V127" i="9"/>
  <c r="X127" i="9"/>
  <c r="Z127" i="9"/>
  <c r="H110" i="9"/>
  <c r="J110" i="9"/>
  <c r="L110" i="9"/>
  <c r="N110" i="9"/>
  <c r="P110" i="9"/>
  <c r="R110" i="9"/>
  <c r="T110" i="9"/>
  <c r="V110" i="9"/>
  <c r="X110" i="9"/>
  <c r="Z110" i="9"/>
  <c r="H93" i="9"/>
  <c r="J93" i="9"/>
  <c r="L93" i="9"/>
  <c r="N93" i="9"/>
  <c r="P93" i="9"/>
  <c r="R93" i="9"/>
  <c r="T93" i="9"/>
  <c r="V93" i="9"/>
  <c r="X93" i="9"/>
  <c r="Z93" i="9"/>
  <c r="H76" i="9"/>
  <c r="J76" i="9"/>
  <c r="L76" i="9"/>
  <c r="N76" i="9"/>
  <c r="P76" i="9"/>
  <c r="R76" i="9"/>
  <c r="T76" i="9"/>
  <c r="V76" i="9"/>
  <c r="X76" i="9"/>
  <c r="Z76" i="9"/>
  <c r="H59" i="9"/>
  <c r="J59" i="9"/>
  <c r="L59" i="9"/>
  <c r="N59" i="9"/>
  <c r="P59" i="9"/>
  <c r="R59" i="9"/>
  <c r="T59" i="9"/>
  <c r="V59" i="9"/>
  <c r="X59" i="9"/>
  <c r="Z59" i="9"/>
  <c r="H42" i="9"/>
  <c r="J42" i="9"/>
  <c r="L42" i="9"/>
  <c r="N42" i="9"/>
  <c r="P42" i="9"/>
  <c r="R42" i="9"/>
  <c r="T42" i="9"/>
  <c r="V42" i="9"/>
  <c r="X42" i="9"/>
  <c r="Z42" i="9"/>
  <c r="AK42" i="9"/>
  <c r="H25" i="9"/>
  <c r="J25" i="9"/>
  <c r="L25" i="9"/>
  <c r="N25" i="9"/>
  <c r="P25" i="9"/>
  <c r="R25" i="9"/>
  <c r="T25" i="9"/>
  <c r="V25" i="9"/>
  <c r="X25" i="9"/>
  <c r="Z25" i="9"/>
  <c r="AA42" i="9" l="1"/>
  <c r="AB42" i="9" s="1"/>
  <c r="AA76" i="9"/>
  <c r="AB76" i="9" s="1"/>
  <c r="AA101" i="9"/>
  <c r="AB101" i="9" s="1"/>
  <c r="AA109" i="9"/>
  <c r="AB109" i="9" s="1"/>
  <c r="AA108" i="9"/>
  <c r="AC108" i="9" s="1"/>
  <c r="AA25" i="9"/>
  <c r="AB25" i="9" s="1"/>
  <c r="AA102" i="9"/>
  <c r="AB102" i="9" s="1"/>
  <c r="AA100" i="9"/>
  <c r="AB100" i="9" s="1"/>
  <c r="AA96" i="9"/>
  <c r="AC96" i="9" s="1"/>
  <c r="AA103" i="9"/>
  <c r="AB103" i="9" s="1"/>
  <c r="AA107" i="9"/>
  <c r="AB107" i="9" s="1"/>
  <c r="AA105" i="9"/>
  <c r="AB105" i="9" s="1"/>
  <c r="AE105" i="9" s="1"/>
  <c r="AA99" i="9"/>
  <c r="AB99" i="9" s="1"/>
  <c r="AE99" i="9" s="1"/>
  <c r="AF99" i="9" s="1"/>
  <c r="AA98" i="9"/>
  <c r="AC98" i="9" s="1"/>
  <c r="AA106" i="9"/>
  <c r="AB106" i="9" s="1"/>
  <c r="AA104" i="9"/>
  <c r="AB104" i="9" s="1"/>
  <c r="AA97" i="9"/>
  <c r="AC97" i="9" s="1"/>
  <c r="AA95" i="9"/>
  <c r="AB95" i="9" s="1"/>
  <c r="AA161" i="9"/>
  <c r="AA144" i="9"/>
  <c r="AA127" i="9"/>
  <c r="AA110" i="9"/>
  <c r="AC110" i="9" s="1"/>
  <c r="AA93" i="9"/>
  <c r="AC93" i="9" s="1"/>
  <c r="AA59" i="9"/>
  <c r="AB96" i="9" l="1"/>
  <c r="AE96" i="9" s="1"/>
  <c r="AB108" i="9"/>
  <c r="AE108" i="9" s="1"/>
  <c r="AF108" i="9" s="1"/>
  <c r="AG108" i="9" s="1"/>
  <c r="AI108" i="9" s="1"/>
  <c r="AC101" i="9"/>
  <c r="AE101" i="9" s="1"/>
  <c r="AC102" i="9"/>
  <c r="AE102" i="9" s="1"/>
  <c r="AF102" i="9" s="1"/>
  <c r="AB97" i="9"/>
  <c r="AE97" i="9" s="1"/>
  <c r="AB98" i="9"/>
  <c r="AE98" i="9" s="1"/>
  <c r="AF98" i="9" s="1"/>
  <c r="AC109" i="9"/>
  <c r="AE109" i="9" s="1"/>
  <c r="AE100" i="9"/>
  <c r="AF100" i="9" s="1"/>
  <c r="AG100" i="9" s="1"/>
  <c r="AI100" i="9" s="1"/>
  <c r="AE103" i="9"/>
  <c r="AF103" i="9" s="1"/>
  <c r="AG103" i="9" s="1"/>
  <c r="AE95" i="9"/>
  <c r="AF95" i="9" s="1"/>
  <c r="AG95" i="9" s="1"/>
  <c r="AE104" i="9"/>
  <c r="AF105" i="9"/>
  <c r="AG105" i="9" s="1"/>
  <c r="AE106" i="9"/>
  <c r="AF106" i="9" s="1"/>
  <c r="AG99" i="9"/>
  <c r="AE107" i="9"/>
  <c r="AB161" i="9"/>
  <c r="AB144" i="9"/>
  <c r="AB127" i="9"/>
  <c r="AE127" i="9" s="1"/>
  <c r="AB110" i="9"/>
  <c r="AB93" i="9"/>
  <c r="AB59" i="9"/>
  <c r="AF101" i="9" l="1"/>
  <c r="AG101" i="9" s="1"/>
  <c r="AI101" i="9" s="1"/>
  <c r="AF97" i="9"/>
  <c r="AG97" i="9" s="1"/>
  <c r="AI97" i="9" s="1"/>
  <c r="AF96" i="9"/>
  <c r="AG96" i="9" s="1"/>
  <c r="AI96" i="9" s="1"/>
  <c r="AF109" i="9"/>
  <c r="AG109" i="9" s="1"/>
  <c r="AI109" i="9" s="1"/>
  <c r="AG98" i="9"/>
  <c r="AI98" i="9" s="1"/>
  <c r="AG102" i="9"/>
  <c r="AI102" i="9" s="1"/>
  <c r="AF104" i="9"/>
  <c r="AG104" i="9" s="1"/>
  <c r="AF107" i="9"/>
  <c r="AG107" i="9" s="1"/>
  <c r="AG106" i="9"/>
  <c r="AI106" i="9" s="1"/>
  <c r="AE161" i="9"/>
  <c r="AE144" i="9"/>
  <c r="AF127" i="9"/>
  <c r="AG127" i="9" s="1"/>
  <c r="AI127" i="9" s="1"/>
  <c r="AK127" i="9" s="1"/>
  <c r="AE110" i="9"/>
  <c r="AF110" i="9" s="1"/>
  <c r="AE93" i="9"/>
  <c r="AF93" i="9" s="1"/>
  <c r="AG93" i="9" s="1"/>
  <c r="AI93" i="9" s="1"/>
  <c r="AK93" i="9" s="1"/>
  <c r="AE76" i="9"/>
  <c r="AF76" i="9" s="1"/>
  <c r="AE59" i="9"/>
  <c r="AE42" i="9"/>
  <c r="AG110" i="9" l="1"/>
  <c r="AI110" i="9" s="1"/>
  <c r="AK110" i="9" s="1"/>
  <c r="AF161" i="9"/>
  <c r="AG161" i="9" s="1"/>
  <c r="AF144" i="9"/>
  <c r="AG144" i="9" s="1"/>
  <c r="AG76" i="9"/>
  <c r="AI76" i="9" s="1"/>
  <c r="AK76" i="9" s="1"/>
  <c r="AF59" i="9"/>
  <c r="AG59" i="9" s="1"/>
  <c r="AI59" i="9" s="1"/>
  <c r="AK59" i="9" s="1"/>
  <c r="AF42" i="9"/>
  <c r="AG42" i="9" s="1"/>
  <c r="Z173" i="9" l="1"/>
  <c r="X173" i="9"/>
  <c r="V173" i="9"/>
  <c r="T173" i="9"/>
  <c r="R173" i="9"/>
  <c r="P173" i="9"/>
  <c r="N173" i="9"/>
  <c r="L173" i="9"/>
  <c r="J173" i="9"/>
  <c r="H173" i="9"/>
  <c r="Z172" i="9"/>
  <c r="X172" i="9"/>
  <c r="V172" i="9"/>
  <c r="T172" i="9"/>
  <c r="R172" i="9"/>
  <c r="P172" i="9"/>
  <c r="N172" i="9"/>
  <c r="L172" i="9"/>
  <c r="J172" i="9"/>
  <c r="H172" i="9"/>
  <c r="Z171" i="9"/>
  <c r="X171" i="9"/>
  <c r="V171" i="9"/>
  <c r="T171" i="9"/>
  <c r="R171" i="9"/>
  <c r="P171" i="9"/>
  <c r="N171" i="9"/>
  <c r="L171" i="9"/>
  <c r="J171" i="9"/>
  <c r="H171" i="9"/>
  <c r="Z170" i="9"/>
  <c r="X170" i="9"/>
  <c r="V170" i="9"/>
  <c r="T170" i="9"/>
  <c r="R170" i="9"/>
  <c r="P170" i="9"/>
  <c r="N170" i="9"/>
  <c r="L170" i="9"/>
  <c r="J170" i="9"/>
  <c r="H170" i="9"/>
  <c r="Z169" i="9"/>
  <c r="X169" i="9"/>
  <c r="V169" i="9"/>
  <c r="T169" i="9"/>
  <c r="R169" i="9"/>
  <c r="P169" i="9"/>
  <c r="N169" i="9"/>
  <c r="L169" i="9"/>
  <c r="J169" i="9"/>
  <c r="H169" i="9"/>
  <c r="Z168" i="9"/>
  <c r="X168" i="9"/>
  <c r="V168" i="9"/>
  <c r="T168" i="9"/>
  <c r="R168" i="9"/>
  <c r="P168" i="9"/>
  <c r="N168" i="9"/>
  <c r="L168" i="9"/>
  <c r="J168" i="9"/>
  <c r="H168" i="9"/>
  <c r="Z167" i="9"/>
  <c r="X167" i="9"/>
  <c r="V167" i="9"/>
  <c r="T167" i="9"/>
  <c r="R167" i="9"/>
  <c r="P167" i="9"/>
  <c r="N167" i="9"/>
  <c r="L167" i="9"/>
  <c r="J167" i="9"/>
  <c r="H167" i="9"/>
  <c r="Z166" i="9"/>
  <c r="X166" i="9"/>
  <c r="V166" i="9"/>
  <c r="T166" i="9"/>
  <c r="R166" i="9"/>
  <c r="P166" i="9"/>
  <c r="N166" i="9"/>
  <c r="L166" i="9"/>
  <c r="J166" i="9"/>
  <c r="H166" i="9"/>
  <c r="Z165" i="9"/>
  <c r="X165" i="9"/>
  <c r="V165" i="9"/>
  <c r="T165" i="9"/>
  <c r="R165" i="9"/>
  <c r="P165" i="9"/>
  <c r="N165" i="9"/>
  <c r="L165" i="9"/>
  <c r="J165" i="9"/>
  <c r="H165" i="9"/>
  <c r="Z164" i="9"/>
  <c r="X164" i="9"/>
  <c r="V164" i="9"/>
  <c r="T164" i="9"/>
  <c r="R164" i="9"/>
  <c r="P164" i="9"/>
  <c r="N164" i="9"/>
  <c r="L164" i="9"/>
  <c r="J164" i="9"/>
  <c r="H164" i="9"/>
  <c r="Z163" i="9"/>
  <c r="X163" i="9"/>
  <c r="V163" i="9"/>
  <c r="T163" i="9"/>
  <c r="R163" i="9"/>
  <c r="P163" i="9"/>
  <c r="N163" i="9"/>
  <c r="L163" i="9"/>
  <c r="J163" i="9"/>
  <c r="H163" i="9"/>
  <c r="Z162" i="9"/>
  <c r="X162" i="9"/>
  <c r="V162" i="9"/>
  <c r="T162" i="9"/>
  <c r="R162" i="9"/>
  <c r="P162" i="9"/>
  <c r="N162" i="9"/>
  <c r="L162" i="9"/>
  <c r="J162" i="9"/>
  <c r="H162" i="9"/>
  <c r="Z160" i="9"/>
  <c r="X160" i="9"/>
  <c r="V160" i="9"/>
  <c r="T160" i="9"/>
  <c r="R160" i="9"/>
  <c r="P160" i="9"/>
  <c r="N160" i="9"/>
  <c r="L160" i="9"/>
  <c r="J160" i="9"/>
  <c r="H160" i="9"/>
  <c r="Z159" i="9"/>
  <c r="X159" i="9"/>
  <c r="V159" i="9"/>
  <c r="T159" i="9"/>
  <c r="R159" i="9"/>
  <c r="P159" i="9"/>
  <c r="N159" i="9"/>
  <c r="L159" i="9"/>
  <c r="J159" i="9"/>
  <c r="H159" i="9"/>
  <c r="Z158" i="9"/>
  <c r="X158" i="9"/>
  <c r="V158" i="9"/>
  <c r="T158" i="9"/>
  <c r="R158" i="9"/>
  <c r="P158" i="9"/>
  <c r="N158" i="9"/>
  <c r="L158" i="9"/>
  <c r="J158" i="9"/>
  <c r="H158" i="9"/>
  <c r="Z157" i="9"/>
  <c r="X157" i="9"/>
  <c r="V157" i="9"/>
  <c r="T157" i="9"/>
  <c r="R157" i="9"/>
  <c r="P157" i="9"/>
  <c r="N157" i="9"/>
  <c r="L157" i="9"/>
  <c r="J157" i="9"/>
  <c r="H157" i="9"/>
  <c r="Z156" i="9"/>
  <c r="X156" i="9"/>
  <c r="V156" i="9"/>
  <c r="T156" i="9"/>
  <c r="R156" i="9"/>
  <c r="P156" i="9"/>
  <c r="N156" i="9"/>
  <c r="L156" i="9"/>
  <c r="J156" i="9"/>
  <c r="H156" i="9"/>
  <c r="Z155" i="9"/>
  <c r="X155" i="9"/>
  <c r="V155" i="9"/>
  <c r="T155" i="9"/>
  <c r="R155" i="9"/>
  <c r="P155" i="9"/>
  <c r="N155" i="9"/>
  <c r="L155" i="9"/>
  <c r="J155" i="9"/>
  <c r="H155" i="9"/>
  <c r="Z154" i="9"/>
  <c r="X154" i="9"/>
  <c r="V154" i="9"/>
  <c r="T154" i="9"/>
  <c r="R154" i="9"/>
  <c r="P154" i="9"/>
  <c r="N154" i="9"/>
  <c r="L154" i="9"/>
  <c r="J154" i="9"/>
  <c r="H154" i="9"/>
  <c r="Z153" i="9"/>
  <c r="X153" i="9"/>
  <c r="V153" i="9"/>
  <c r="T153" i="9"/>
  <c r="R153" i="9"/>
  <c r="P153" i="9"/>
  <c r="N153" i="9"/>
  <c r="L153" i="9"/>
  <c r="J153" i="9"/>
  <c r="H153" i="9"/>
  <c r="Z152" i="9"/>
  <c r="X152" i="9"/>
  <c r="V152" i="9"/>
  <c r="T152" i="9"/>
  <c r="R152" i="9"/>
  <c r="P152" i="9"/>
  <c r="N152" i="9"/>
  <c r="L152" i="9"/>
  <c r="J152" i="9"/>
  <c r="H152" i="9"/>
  <c r="Z151" i="9"/>
  <c r="X151" i="9"/>
  <c r="V151" i="9"/>
  <c r="T151" i="9"/>
  <c r="R151" i="9"/>
  <c r="P151" i="9"/>
  <c r="N151" i="9"/>
  <c r="L151" i="9"/>
  <c r="J151" i="9"/>
  <c r="H151" i="9"/>
  <c r="Z150" i="9"/>
  <c r="X150" i="9"/>
  <c r="V150" i="9"/>
  <c r="T150" i="9"/>
  <c r="R150" i="9"/>
  <c r="P150" i="9"/>
  <c r="N150" i="9"/>
  <c r="L150" i="9"/>
  <c r="J150" i="9"/>
  <c r="H150" i="9"/>
  <c r="Z149" i="9"/>
  <c r="X149" i="9"/>
  <c r="V149" i="9"/>
  <c r="T149" i="9"/>
  <c r="R149" i="9"/>
  <c r="P149" i="9"/>
  <c r="N149" i="9"/>
  <c r="L149" i="9"/>
  <c r="J149" i="9"/>
  <c r="H149" i="9"/>
  <c r="Z148" i="9"/>
  <c r="X148" i="9"/>
  <c r="V148" i="9"/>
  <c r="T148" i="9"/>
  <c r="R148" i="9"/>
  <c r="P148" i="9"/>
  <c r="N148" i="9"/>
  <c r="L148" i="9"/>
  <c r="J148" i="9"/>
  <c r="H148" i="9"/>
  <c r="Z147" i="9"/>
  <c r="X147" i="9"/>
  <c r="V147" i="9"/>
  <c r="T147" i="9"/>
  <c r="R147" i="9"/>
  <c r="P147" i="9"/>
  <c r="N147" i="9"/>
  <c r="L147" i="9"/>
  <c r="J147" i="9"/>
  <c r="H147" i="9"/>
  <c r="Z146" i="9"/>
  <c r="X146" i="9"/>
  <c r="V146" i="9"/>
  <c r="T146" i="9"/>
  <c r="R146" i="9"/>
  <c r="P146" i="9"/>
  <c r="N146" i="9"/>
  <c r="L146" i="9"/>
  <c r="J146" i="9"/>
  <c r="H146" i="9"/>
  <c r="Z145" i="9"/>
  <c r="X145" i="9"/>
  <c r="V145" i="9"/>
  <c r="T145" i="9"/>
  <c r="R145" i="9"/>
  <c r="P145" i="9"/>
  <c r="N145" i="9"/>
  <c r="L145" i="9"/>
  <c r="J145" i="9"/>
  <c r="H145" i="9"/>
  <c r="Z143" i="9"/>
  <c r="X143" i="9"/>
  <c r="V143" i="9"/>
  <c r="T143" i="9"/>
  <c r="R143" i="9"/>
  <c r="P143" i="9"/>
  <c r="N143" i="9"/>
  <c r="L143" i="9"/>
  <c r="J143" i="9"/>
  <c r="H143" i="9"/>
  <c r="Z142" i="9"/>
  <c r="X142" i="9"/>
  <c r="V142" i="9"/>
  <c r="T142" i="9"/>
  <c r="R142" i="9"/>
  <c r="P142" i="9"/>
  <c r="N142" i="9"/>
  <c r="L142" i="9"/>
  <c r="J142" i="9"/>
  <c r="H142" i="9"/>
  <c r="Z141" i="9"/>
  <c r="X141" i="9"/>
  <c r="V141" i="9"/>
  <c r="T141" i="9"/>
  <c r="R141" i="9"/>
  <c r="P141" i="9"/>
  <c r="N141" i="9"/>
  <c r="L141" i="9"/>
  <c r="J141" i="9"/>
  <c r="H141" i="9"/>
  <c r="Z140" i="9"/>
  <c r="X140" i="9"/>
  <c r="V140" i="9"/>
  <c r="T140" i="9"/>
  <c r="R140" i="9"/>
  <c r="P140" i="9"/>
  <c r="N140" i="9"/>
  <c r="L140" i="9"/>
  <c r="J140" i="9"/>
  <c r="H140" i="9"/>
  <c r="Z139" i="9"/>
  <c r="X139" i="9"/>
  <c r="V139" i="9"/>
  <c r="T139" i="9"/>
  <c r="R139" i="9"/>
  <c r="P139" i="9"/>
  <c r="N139" i="9"/>
  <c r="L139" i="9"/>
  <c r="J139" i="9"/>
  <c r="H139" i="9"/>
  <c r="Z138" i="9"/>
  <c r="X138" i="9"/>
  <c r="V138" i="9"/>
  <c r="T138" i="9"/>
  <c r="R138" i="9"/>
  <c r="P138" i="9"/>
  <c r="N138" i="9"/>
  <c r="L138" i="9"/>
  <c r="J138" i="9"/>
  <c r="H138" i="9"/>
  <c r="Z137" i="9"/>
  <c r="X137" i="9"/>
  <c r="V137" i="9"/>
  <c r="T137" i="9"/>
  <c r="R137" i="9"/>
  <c r="P137" i="9"/>
  <c r="N137" i="9"/>
  <c r="L137" i="9"/>
  <c r="J137" i="9"/>
  <c r="H137" i="9"/>
  <c r="Z136" i="9"/>
  <c r="X136" i="9"/>
  <c r="V136" i="9"/>
  <c r="T136" i="9"/>
  <c r="R136" i="9"/>
  <c r="P136" i="9"/>
  <c r="N136" i="9"/>
  <c r="L136" i="9"/>
  <c r="J136" i="9"/>
  <c r="H136" i="9"/>
  <c r="Z135" i="9"/>
  <c r="X135" i="9"/>
  <c r="V135" i="9"/>
  <c r="T135" i="9"/>
  <c r="R135" i="9"/>
  <c r="P135" i="9"/>
  <c r="N135" i="9"/>
  <c r="L135" i="9"/>
  <c r="J135" i="9"/>
  <c r="H135" i="9"/>
  <c r="Z134" i="9"/>
  <c r="X134" i="9"/>
  <c r="V134" i="9"/>
  <c r="T134" i="9"/>
  <c r="R134" i="9"/>
  <c r="P134" i="9"/>
  <c r="N134" i="9"/>
  <c r="L134" i="9"/>
  <c r="J134" i="9"/>
  <c r="H134" i="9"/>
  <c r="Z133" i="9"/>
  <c r="X133" i="9"/>
  <c r="V133" i="9"/>
  <c r="T133" i="9"/>
  <c r="R133" i="9"/>
  <c r="P133" i="9"/>
  <c r="N133" i="9"/>
  <c r="L133" i="9"/>
  <c r="J133" i="9"/>
  <c r="H133" i="9"/>
  <c r="Z132" i="9"/>
  <c r="X132" i="9"/>
  <c r="V132" i="9"/>
  <c r="T132" i="9"/>
  <c r="R132" i="9"/>
  <c r="P132" i="9"/>
  <c r="N132" i="9"/>
  <c r="L132" i="9"/>
  <c r="J132" i="9"/>
  <c r="H132" i="9"/>
  <c r="Z131" i="9"/>
  <c r="X131" i="9"/>
  <c r="V131" i="9"/>
  <c r="T131" i="9"/>
  <c r="R131" i="9"/>
  <c r="P131" i="9"/>
  <c r="N131" i="9"/>
  <c r="L131" i="9"/>
  <c r="J131" i="9"/>
  <c r="H131" i="9"/>
  <c r="Z130" i="9"/>
  <c r="X130" i="9"/>
  <c r="V130" i="9"/>
  <c r="T130" i="9"/>
  <c r="R130" i="9"/>
  <c r="P130" i="9"/>
  <c r="N130" i="9"/>
  <c r="L130" i="9"/>
  <c r="J130" i="9"/>
  <c r="H130" i="9"/>
  <c r="Z129" i="9"/>
  <c r="X129" i="9"/>
  <c r="V129" i="9"/>
  <c r="T129" i="9"/>
  <c r="R129" i="9"/>
  <c r="P129" i="9"/>
  <c r="N129" i="9"/>
  <c r="L129" i="9"/>
  <c r="J129" i="9"/>
  <c r="H129" i="9"/>
  <c r="Z128" i="9"/>
  <c r="X128" i="9"/>
  <c r="V128" i="9"/>
  <c r="T128" i="9"/>
  <c r="R128" i="9"/>
  <c r="P128" i="9"/>
  <c r="N128" i="9"/>
  <c r="L128" i="9"/>
  <c r="J128" i="9"/>
  <c r="H128" i="9"/>
  <c r="Z126" i="9"/>
  <c r="X126" i="9"/>
  <c r="V126" i="9"/>
  <c r="T126" i="9"/>
  <c r="R126" i="9"/>
  <c r="P126" i="9"/>
  <c r="N126" i="9"/>
  <c r="L126" i="9"/>
  <c r="J126" i="9"/>
  <c r="H126" i="9"/>
  <c r="Z125" i="9"/>
  <c r="X125" i="9"/>
  <c r="V125" i="9"/>
  <c r="T125" i="9"/>
  <c r="R125" i="9"/>
  <c r="P125" i="9"/>
  <c r="N125" i="9"/>
  <c r="L125" i="9"/>
  <c r="J125" i="9"/>
  <c r="H125" i="9"/>
  <c r="Z124" i="9"/>
  <c r="X124" i="9"/>
  <c r="V124" i="9"/>
  <c r="T124" i="9"/>
  <c r="R124" i="9"/>
  <c r="P124" i="9"/>
  <c r="N124" i="9"/>
  <c r="L124" i="9"/>
  <c r="J124" i="9"/>
  <c r="H124" i="9"/>
  <c r="Z123" i="9"/>
  <c r="X123" i="9"/>
  <c r="V123" i="9"/>
  <c r="T123" i="9"/>
  <c r="R123" i="9"/>
  <c r="P123" i="9"/>
  <c r="N123" i="9"/>
  <c r="L123" i="9"/>
  <c r="J123" i="9"/>
  <c r="H123" i="9"/>
  <c r="Z122" i="9"/>
  <c r="X122" i="9"/>
  <c r="V122" i="9"/>
  <c r="T122" i="9"/>
  <c r="R122" i="9"/>
  <c r="P122" i="9"/>
  <c r="N122" i="9"/>
  <c r="L122" i="9"/>
  <c r="J122" i="9"/>
  <c r="H122" i="9"/>
  <c r="Z121" i="9"/>
  <c r="X121" i="9"/>
  <c r="V121" i="9"/>
  <c r="T121" i="9"/>
  <c r="R121" i="9"/>
  <c r="P121" i="9"/>
  <c r="N121" i="9"/>
  <c r="L121" i="9"/>
  <c r="J121" i="9"/>
  <c r="H121" i="9"/>
  <c r="Z120" i="9"/>
  <c r="X120" i="9"/>
  <c r="V120" i="9"/>
  <c r="T120" i="9"/>
  <c r="R120" i="9"/>
  <c r="P120" i="9"/>
  <c r="N120" i="9"/>
  <c r="L120" i="9"/>
  <c r="J120" i="9"/>
  <c r="H120" i="9"/>
  <c r="Z119" i="9"/>
  <c r="X119" i="9"/>
  <c r="V119" i="9"/>
  <c r="T119" i="9"/>
  <c r="R119" i="9"/>
  <c r="P119" i="9"/>
  <c r="N119" i="9"/>
  <c r="L119" i="9"/>
  <c r="J119" i="9"/>
  <c r="H119" i="9"/>
  <c r="Z118" i="9"/>
  <c r="X118" i="9"/>
  <c r="V118" i="9"/>
  <c r="T118" i="9"/>
  <c r="R118" i="9"/>
  <c r="P118" i="9"/>
  <c r="N118" i="9"/>
  <c r="L118" i="9"/>
  <c r="J118" i="9"/>
  <c r="H118" i="9"/>
  <c r="Z117" i="9"/>
  <c r="X117" i="9"/>
  <c r="V117" i="9"/>
  <c r="T117" i="9"/>
  <c r="R117" i="9"/>
  <c r="P117" i="9"/>
  <c r="N117" i="9"/>
  <c r="L117" i="9"/>
  <c r="J117" i="9"/>
  <c r="H117" i="9"/>
  <c r="Z116" i="9"/>
  <c r="X116" i="9"/>
  <c r="V116" i="9"/>
  <c r="T116" i="9"/>
  <c r="R116" i="9"/>
  <c r="P116" i="9"/>
  <c r="N116" i="9"/>
  <c r="L116" i="9"/>
  <c r="J116" i="9"/>
  <c r="H116" i="9"/>
  <c r="Z115" i="9"/>
  <c r="X115" i="9"/>
  <c r="V115" i="9"/>
  <c r="T115" i="9"/>
  <c r="R115" i="9"/>
  <c r="P115" i="9"/>
  <c r="N115" i="9"/>
  <c r="L115" i="9"/>
  <c r="J115" i="9"/>
  <c r="H115" i="9"/>
  <c r="Z114" i="9"/>
  <c r="X114" i="9"/>
  <c r="V114" i="9"/>
  <c r="T114" i="9"/>
  <c r="R114" i="9"/>
  <c r="P114" i="9"/>
  <c r="N114" i="9"/>
  <c r="L114" i="9"/>
  <c r="J114" i="9"/>
  <c r="H114" i="9"/>
  <c r="Z113" i="9"/>
  <c r="X113" i="9"/>
  <c r="V113" i="9"/>
  <c r="T113" i="9"/>
  <c r="R113" i="9"/>
  <c r="P113" i="9"/>
  <c r="N113" i="9"/>
  <c r="L113" i="9"/>
  <c r="J113" i="9"/>
  <c r="H113" i="9"/>
  <c r="Z112" i="9"/>
  <c r="X112" i="9"/>
  <c r="V112" i="9"/>
  <c r="T112" i="9"/>
  <c r="R112" i="9"/>
  <c r="P112" i="9"/>
  <c r="N112" i="9"/>
  <c r="L112" i="9"/>
  <c r="J112" i="9"/>
  <c r="H112" i="9"/>
  <c r="Z111" i="9"/>
  <c r="X111" i="9"/>
  <c r="V111" i="9"/>
  <c r="T111" i="9"/>
  <c r="R111" i="9"/>
  <c r="P111" i="9"/>
  <c r="N111" i="9"/>
  <c r="L111" i="9"/>
  <c r="J111" i="9"/>
  <c r="H111" i="9"/>
  <c r="Z94" i="9"/>
  <c r="X94" i="9"/>
  <c r="V94" i="9"/>
  <c r="T94" i="9"/>
  <c r="R94" i="9"/>
  <c r="P94" i="9"/>
  <c r="N94" i="9"/>
  <c r="L94" i="9"/>
  <c r="J94" i="9"/>
  <c r="H94" i="9"/>
  <c r="Z92" i="9"/>
  <c r="X92" i="9"/>
  <c r="V92" i="9"/>
  <c r="T92" i="9"/>
  <c r="R92" i="9"/>
  <c r="P92" i="9"/>
  <c r="N92" i="9"/>
  <c r="L92" i="9"/>
  <c r="J92" i="9"/>
  <c r="H92" i="9"/>
  <c r="Z91" i="9"/>
  <c r="X91" i="9"/>
  <c r="V91" i="9"/>
  <c r="T91" i="9"/>
  <c r="R91" i="9"/>
  <c r="P91" i="9"/>
  <c r="N91" i="9"/>
  <c r="L91" i="9"/>
  <c r="J91" i="9"/>
  <c r="H91" i="9"/>
  <c r="Z90" i="9"/>
  <c r="X90" i="9"/>
  <c r="V90" i="9"/>
  <c r="T90" i="9"/>
  <c r="R90" i="9"/>
  <c r="P90" i="9"/>
  <c r="N90" i="9"/>
  <c r="L90" i="9"/>
  <c r="J90" i="9"/>
  <c r="H90" i="9"/>
  <c r="Z89" i="9"/>
  <c r="X89" i="9"/>
  <c r="V89" i="9"/>
  <c r="T89" i="9"/>
  <c r="R89" i="9"/>
  <c r="P89" i="9"/>
  <c r="N89" i="9"/>
  <c r="L89" i="9"/>
  <c r="J89" i="9"/>
  <c r="H89" i="9"/>
  <c r="Z88" i="9"/>
  <c r="X88" i="9"/>
  <c r="V88" i="9"/>
  <c r="T88" i="9"/>
  <c r="R88" i="9"/>
  <c r="P88" i="9"/>
  <c r="N88" i="9"/>
  <c r="L88" i="9"/>
  <c r="J88" i="9"/>
  <c r="H88" i="9"/>
  <c r="Z87" i="9"/>
  <c r="X87" i="9"/>
  <c r="V87" i="9"/>
  <c r="T87" i="9"/>
  <c r="R87" i="9"/>
  <c r="P87" i="9"/>
  <c r="N87" i="9"/>
  <c r="L87" i="9"/>
  <c r="J87" i="9"/>
  <c r="H87" i="9"/>
  <c r="Z86" i="9"/>
  <c r="X86" i="9"/>
  <c r="V86" i="9"/>
  <c r="T86" i="9"/>
  <c r="R86" i="9"/>
  <c r="P86" i="9"/>
  <c r="N86" i="9"/>
  <c r="L86" i="9"/>
  <c r="J86" i="9"/>
  <c r="H86" i="9"/>
  <c r="Z85" i="9"/>
  <c r="X85" i="9"/>
  <c r="V85" i="9"/>
  <c r="T85" i="9"/>
  <c r="R85" i="9"/>
  <c r="P85" i="9"/>
  <c r="N85" i="9"/>
  <c r="L85" i="9"/>
  <c r="J85" i="9"/>
  <c r="H85" i="9"/>
  <c r="Z84" i="9"/>
  <c r="X84" i="9"/>
  <c r="V84" i="9"/>
  <c r="T84" i="9"/>
  <c r="R84" i="9"/>
  <c r="P84" i="9"/>
  <c r="N84" i="9"/>
  <c r="L84" i="9"/>
  <c r="J84" i="9"/>
  <c r="H84" i="9"/>
  <c r="Z83" i="9"/>
  <c r="X83" i="9"/>
  <c r="V83" i="9"/>
  <c r="T83" i="9"/>
  <c r="R83" i="9"/>
  <c r="P83" i="9"/>
  <c r="N83" i="9"/>
  <c r="L83" i="9"/>
  <c r="J83" i="9"/>
  <c r="H83" i="9"/>
  <c r="Z82" i="9"/>
  <c r="X82" i="9"/>
  <c r="V82" i="9"/>
  <c r="T82" i="9"/>
  <c r="R82" i="9"/>
  <c r="P82" i="9"/>
  <c r="N82" i="9"/>
  <c r="L82" i="9"/>
  <c r="J82" i="9"/>
  <c r="H82" i="9"/>
  <c r="Z81" i="9"/>
  <c r="X81" i="9"/>
  <c r="V81" i="9"/>
  <c r="T81" i="9"/>
  <c r="R81" i="9"/>
  <c r="P81" i="9"/>
  <c r="N81" i="9"/>
  <c r="L81" i="9"/>
  <c r="J81" i="9"/>
  <c r="H81" i="9"/>
  <c r="Z80" i="9"/>
  <c r="X80" i="9"/>
  <c r="V80" i="9"/>
  <c r="T80" i="9"/>
  <c r="R80" i="9"/>
  <c r="P80" i="9"/>
  <c r="N80" i="9"/>
  <c r="L80" i="9"/>
  <c r="J80" i="9"/>
  <c r="H80" i="9"/>
  <c r="Z79" i="9"/>
  <c r="X79" i="9"/>
  <c r="V79" i="9"/>
  <c r="T79" i="9"/>
  <c r="R79" i="9"/>
  <c r="P79" i="9"/>
  <c r="N79" i="9"/>
  <c r="L79" i="9"/>
  <c r="J79" i="9"/>
  <c r="H79" i="9"/>
  <c r="Z78" i="9"/>
  <c r="X78" i="9"/>
  <c r="V78" i="9"/>
  <c r="T78" i="9"/>
  <c r="R78" i="9"/>
  <c r="P78" i="9"/>
  <c r="N78" i="9"/>
  <c r="L78" i="9"/>
  <c r="J78" i="9"/>
  <c r="H78" i="9"/>
  <c r="Z77" i="9"/>
  <c r="X77" i="9"/>
  <c r="V77" i="9"/>
  <c r="T77" i="9"/>
  <c r="R77" i="9"/>
  <c r="P77" i="9"/>
  <c r="N77" i="9"/>
  <c r="L77" i="9"/>
  <c r="J77" i="9"/>
  <c r="H77" i="9"/>
  <c r="Z75" i="9"/>
  <c r="X75" i="9"/>
  <c r="V75" i="9"/>
  <c r="T75" i="9"/>
  <c r="R75" i="9"/>
  <c r="P75" i="9"/>
  <c r="N75" i="9"/>
  <c r="L75" i="9"/>
  <c r="J75" i="9"/>
  <c r="H75" i="9"/>
  <c r="Z74" i="9"/>
  <c r="X74" i="9"/>
  <c r="V74" i="9"/>
  <c r="T74" i="9"/>
  <c r="R74" i="9"/>
  <c r="P74" i="9"/>
  <c r="N74" i="9"/>
  <c r="L74" i="9"/>
  <c r="J74" i="9"/>
  <c r="H74" i="9"/>
  <c r="Z73" i="9"/>
  <c r="X73" i="9"/>
  <c r="V73" i="9"/>
  <c r="T73" i="9"/>
  <c r="R73" i="9"/>
  <c r="P73" i="9"/>
  <c r="N73" i="9"/>
  <c r="L73" i="9"/>
  <c r="J73" i="9"/>
  <c r="H73" i="9"/>
  <c r="Z72" i="9"/>
  <c r="X72" i="9"/>
  <c r="V72" i="9"/>
  <c r="T72" i="9"/>
  <c r="R72" i="9"/>
  <c r="P72" i="9"/>
  <c r="N72" i="9"/>
  <c r="L72" i="9"/>
  <c r="J72" i="9"/>
  <c r="H72" i="9"/>
  <c r="Z71" i="9"/>
  <c r="X71" i="9"/>
  <c r="V71" i="9"/>
  <c r="T71" i="9"/>
  <c r="R71" i="9"/>
  <c r="P71" i="9"/>
  <c r="N71" i="9"/>
  <c r="L71" i="9"/>
  <c r="J71" i="9"/>
  <c r="H71" i="9"/>
  <c r="Z70" i="9"/>
  <c r="X70" i="9"/>
  <c r="V70" i="9"/>
  <c r="T70" i="9"/>
  <c r="R70" i="9"/>
  <c r="P70" i="9"/>
  <c r="N70" i="9"/>
  <c r="L70" i="9"/>
  <c r="J70" i="9"/>
  <c r="H70" i="9"/>
  <c r="Z69" i="9"/>
  <c r="X69" i="9"/>
  <c r="V69" i="9"/>
  <c r="T69" i="9"/>
  <c r="R69" i="9"/>
  <c r="P69" i="9"/>
  <c r="N69" i="9"/>
  <c r="L69" i="9"/>
  <c r="J69" i="9"/>
  <c r="H69" i="9"/>
  <c r="Z68" i="9"/>
  <c r="X68" i="9"/>
  <c r="V68" i="9"/>
  <c r="T68" i="9"/>
  <c r="R68" i="9"/>
  <c r="P68" i="9"/>
  <c r="N68" i="9"/>
  <c r="L68" i="9"/>
  <c r="J68" i="9"/>
  <c r="H68" i="9"/>
  <c r="Z67" i="9"/>
  <c r="X67" i="9"/>
  <c r="V67" i="9"/>
  <c r="T67" i="9"/>
  <c r="R67" i="9"/>
  <c r="P67" i="9"/>
  <c r="N67" i="9"/>
  <c r="L67" i="9"/>
  <c r="J67" i="9"/>
  <c r="H67" i="9"/>
  <c r="Z66" i="9"/>
  <c r="X66" i="9"/>
  <c r="V66" i="9"/>
  <c r="T66" i="9"/>
  <c r="R66" i="9"/>
  <c r="P66" i="9"/>
  <c r="N66" i="9"/>
  <c r="L66" i="9"/>
  <c r="J66" i="9"/>
  <c r="H66" i="9"/>
  <c r="Z65" i="9"/>
  <c r="X65" i="9"/>
  <c r="V65" i="9"/>
  <c r="T65" i="9"/>
  <c r="R65" i="9"/>
  <c r="P65" i="9"/>
  <c r="N65" i="9"/>
  <c r="L65" i="9"/>
  <c r="J65" i="9"/>
  <c r="H65" i="9"/>
  <c r="Z64" i="9"/>
  <c r="X64" i="9"/>
  <c r="V64" i="9"/>
  <c r="T64" i="9"/>
  <c r="R64" i="9"/>
  <c r="P64" i="9"/>
  <c r="N64" i="9"/>
  <c r="L64" i="9"/>
  <c r="J64" i="9"/>
  <c r="H64" i="9"/>
  <c r="Z63" i="9"/>
  <c r="X63" i="9"/>
  <c r="V63" i="9"/>
  <c r="T63" i="9"/>
  <c r="R63" i="9"/>
  <c r="P63" i="9"/>
  <c r="N63" i="9"/>
  <c r="L63" i="9"/>
  <c r="J63" i="9"/>
  <c r="H63" i="9"/>
  <c r="Z62" i="9"/>
  <c r="X62" i="9"/>
  <c r="V62" i="9"/>
  <c r="T62" i="9"/>
  <c r="R62" i="9"/>
  <c r="P62" i="9"/>
  <c r="N62" i="9"/>
  <c r="L62" i="9"/>
  <c r="J62" i="9"/>
  <c r="H62" i="9"/>
  <c r="Z61" i="9"/>
  <c r="X61" i="9"/>
  <c r="V61" i="9"/>
  <c r="T61" i="9"/>
  <c r="R61" i="9"/>
  <c r="P61" i="9"/>
  <c r="N61" i="9"/>
  <c r="L61" i="9"/>
  <c r="J61" i="9"/>
  <c r="H61" i="9"/>
  <c r="Z60" i="9"/>
  <c r="X60" i="9"/>
  <c r="V60" i="9"/>
  <c r="T60" i="9"/>
  <c r="R60" i="9"/>
  <c r="P60" i="9"/>
  <c r="N60" i="9"/>
  <c r="L60" i="9"/>
  <c r="J60" i="9"/>
  <c r="H60" i="9"/>
  <c r="Z58" i="9"/>
  <c r="X58" i="9"/>
  <c r="V58" i="9"/>
  <c r="T58" i="9"/>
  <c r="R58" i="9"/>
  <c r="P58" i="9"/>
  <c r="N58" i="9"/>
  <c r="L58" i="9"/>
  <c r="J58" i="9"/>
  <c r="H58" i="9"/>
  <c r="Z57" i="9"/>
  <c r="X57" i="9"/>
  <c r="V57" i="9"/>
  <c r="T57" i="9"/>
  <c r="R57" i="9"/>
  <c r="P57" i="9"/>
  <c r="N57" i="9"/>
  <c r="L57" i="9"/>
  <c r="J57" i="9"/>
  <c r="H57" i="9"/>
  <c r="Z56" i="9"/>
  <c r="X56" i="9"/>
  <c r="V56" i="9"/>
  <c r="T56" i="9"/>
  <c r="R56" i="9"/>
  <c r="P56" i="9"/>
  <c r="N56" i="9"/>
  <c r="L56" i="9"/>
  <c r="J56" i="9"/>
  <c r="H56" i="9"/>
  <c r="Z55" i="9"/>
  <c r="X55" i="9"/>
  <c r="V55" i="9"/>
  <c r="T55" i="9"/>
  <c r="R55" i="9"/>
  <c r="P55" i="9"/>
  <c r="N55" i="9"/>
  <c r="L55" i="9"/>
  <c r="J55" i="9"/>
  <c r="H55" i="9"/>
  <c r="Z54" i="9"/>
  <c r="X54" i="9"/>
  <c r="V54" i="9"/>
  <c r="T54" i="9"/>
  <c r="R54" i="9"/>
  <c r="P54" i="9"/>
  <c r="N54" i="9"/>
  <c r="L54" i="9"/>
  <c r="J54" i="9"/>
  <c r="H54" i="9"/>
  <c r="Z53" i="9"/>
  <c r="X53" i="9"/>
  <c r="V53" i="9"/>
  <c r="T53" i="9"/>
  <c r="R53" i="9"/>
  <c r="P53" i="9"/>
  <c r="N53" i="9"/>
  <c r="L53" i="9"/>
  <c r="J53" i="9"/>
  <c r="H53" i="9"/>
  <c r="Z52" i="9"/>
  <c r="X52" i="9"/>
  <c r="V52" i="9"/>
  <c r="T52" i="9"/>
  <c r="R52" i="9"/>
  <c r="P52" i="9"/>
  <c r="N52" i="9"/>
  <c r="L52" i="9"/>
  <c r="J52" i="9"/>
  <c r="H52" i="9"/>
  <c r="Z51" i="9"/>
  <c r="X51" i="9"/>
  <c r="V51" i="9"/>
  <c r="T51" i="9"/>
  <c r="R51" i="9"/>
  <c r="P51" i="9"/>
  <c r="N51" i="9"/>
  <c r="L51" i="9"/>
  <c r="J51" i="9"/>
  <c r="H51" i="9"/>
  <c r="Z50" i="9"/>
  <c r="X50" i="9"/>
  <c r="V50" i="9"/>
  <c r="T50" i="9"/>
  <c r="R50" i="9"/>
  <c r="P50" i="9"/>
  <c r="N50" i="9"/>
  <c r="L50" i="9"/>
  <c r="J50" i="9"/>
  <c r="H50" i="9"/>
  <c r="Z49" i="9"/>
  <c r="X49" i="9"/>
  <c r="V49" i="9"/>
  <c r="T49" i="9"/>
  <c r="R49" i="9"/>
  <c r="P49" i="9"/>
  <c r="N49" i="9"/>
  <c r="L49" i="9"/>
  <c r="J49" i="9"/>
  <c r="H49" i="9"/>
  <c r="Z48" i="9"/>
  <c r="X48" i="9"/>
  <c r="V48" i="9"/>
  <c r="T48" i="9"/>
  <c r="R48" i="9"/>
  <c r="P48" i="9"/>
  <c r="N48" i="9"/>
  <c r="L48" i="9"/>
  <c r="J48" i="9"/>
  <c r="H48" i="9"/>
  <c r="Z47" i="9"/>
  <c r="X47" i="9"/>
  <c r="V47" i="9"/>
  <c r="T47" i="9"/>
  <c r="R47" i="9"/>
  <c r="P47" i="9"/>
  <c r="N47" i="9"/>
  <c r="L47" i="9"/>
  <c r="J47" i="9"/>
  <c r="Z46" i="9"/>
  <c r="X46" i="9"/>
  <c r="V46" i="9"/>
  <c r="T46" i="9"/>
  <c r="R46" i="9"/>
  <c r="P46" i="9"/>
  <c r="N46" i="9"/>
  <c r="L46" i="9"/>
  <c r="J46" i="9"/>
  <c r="H46" i="9"/>
  <c r="Z45" i="9"/>
  <c r="X45" i="9"/>
  <c r="V45" i="9"/>
  <c r="T45" i="9"/>
  <c r="R45" i="9"/>
  <c r="P45" i="9"/>
  <c r="N45" i="9"/>
  <c r="L45" i="9"/>
  <c r="J45" i="9"/>
  <c r="H45" i="9"/>
  <c r="Z44" i="9"/>
  <c r="X44" i="9"/>
  <c r="V44" i="9"/>
  <c r="T44" i="9"/>
  <c r="R44" i="9"/>
  <c r="P44" i="9"/>
  <c r="N44" i="9"/>
  <c r="L44" i="9"/>
  <c r="J44" i="9"/>
  <c r="H44" i="9"/>
  <c r="Z43" i="9"/>
  <c r="X43" i="9"/>
  <c r="V43" i="9"/>
  <c r="T43" i="9"/>
  <c r="R43" i="9"/>
  <c r="P43" i="9"/>
  <c r="N43" i="9"/>
  <c r="L43" i="9"/>
  <c r="J43" i="9"/>
  <c r="H43" i="9"/>
  <c r="Z41" i="9"/>
  <c r="X41" i="9"/>
  <c r="V41" i="9"/>
  <c r="T41" i="9"/>
  <c r="R41" i="9"/>
  <c r="P41" i="9"/>
  <c r="N41" i="9"/>
  <c r="L41" i="9"/>
  <c r="J41" i="9"/>
  <c r="H41" i="9"/>
  <c r="Z40" i="9"/>
  <c r="X40" i="9"/>
  <c r="V40" i="9"/>
  <c r="T40" i="9"/>
  <c r="R40" i="9"/>
  <c r="P40" i="9"/>
  <c r="N40" i="9"/>
  <c r="L40" i="9"/>
  <c r="J40" i="9"/>
  <c r="H40" i="9"/>
  <c r="Z39" i="9"/>
  <c r="X39" i="9"/>
  <c r="V39" i="9"/>
  <c r="T39" i="9"/>
  <c r="R39" i="9"/>
  <c r="P39" i="9"/>
  <c r="N39" i="9"/>
  <c r="L39" i="9"/>
  <c r="J39" i="9"/>
  <c r="H39" i="9"/>
  <c r="Z38" i="9"/>
  <c r="X38" i="9"/>
  <c r="V38" i="9"/>
  <c r="T38" i="9"/>
  <c r="R38" i="9"/>
  <c r="P38" i="9"/>
  <c r="N38" i="9"/>
  <c r="L38" i="9"/>
  <c r="J38" i="9"/>
  <c r="H38" i="9"/>
  <c r="Z37" i="9"/>
  <c r="X37" i="9"/>
  <c r="V37" i="9"/>
  <c r="T37" i="9"/>
  <c r="R37" i="9"/>
  <c r="P37" i="9"/>
  <c r="N37" i="9"/>
  <c r="L37" i="9"/>
  <c r="J37" i="9"/>
  <c r="H37" i="9"/>
  <c r="Z36" i="9"/>
  <c r="X36" i="9"/>
  <c r="V36" i="9"/>
  <c r="T36" i="9"/>
  <c r="R36" i="9"/>
  <c r="P36" i="9"/>
  <c r="N36" i="9"/>
  <c r="L36" i="9"/>
  <c r="J36" i="9"/>
  <c r="H36" i="9"/>
  <c r="Z35" i="9"/>
  <c r="X35" i="9"/>
  <c r="V35" i="9"/>
  <c r="T35" i="9"/>
  <c r="R35" i="9"/>
  <c r="P35" i="9"/>
  <c r="N35" i="9"/>
  <c r="L35" i="9"/>
  <c r="J35" i="9"/>
  <c r="H35" i="9"/>
  <c r="Z34" i="9"/>
  <c r="X34" i="9"/>
  <c r="V34" i="9"/>
  <c r="T34" i="9"/>
  <c r="R34" i="9"/>
  <c r="P34" i="9"/>
  <c r="N34" i="9"/>
  <c r="L34" i="9"/>
  <c r="J34" i="9"/>
  <c r="H34" i="9"/>
  <c r="Z33" i="9"/>
  <c r="X33" i="9"/>
  <c r="V33" i="9"/>
  <c r="T33" i="9"/>
  <c r="R33" i="9"/>
  <c r="P33" i="9"/>
  <c r="N33" i="9"/>
  <c r="L33" i="9"/>
  <c r="J33" i="9"/>
  <c r="H33" i="9"/>
  <c r="Z32" i="9"/>
  <c r="X32" i="9"/>
  <c r="V32" i="9"/>
  <c r="T32" i="9"/>
  <c r="R32" i="9"/>
  <c r="P32" i="9"/>
  <c r="N32" i="9"/>
  <c r="L32" i="9"/>
  <c r="J32" i="9"/>
  <c r="H32" i="9"/>
  <c r="Z31" i="9"/>
  <c r="X31" i="9"/>
  <c r="V31" i="9"/>
  <c r="T31" i="9"/>
  <c r="R31" i="9"/>
  <c r="P31" i="9"/>
  <c r="N31" i="9"/>
  <c r="L31" i="9"/>
  <c r="J31" i="9"/>
  <c r="H31" i="9"/>
  <c r="Z30" i="9"/>
  <c r="X30" i="9"/>
  <c r="V30" i="9"/>
  <c r="T30" i="9"/>
  <c r="R30" i="9"/>
  <c r="P30" i="9"/>
  <c r="N30" i="9"/>
  <c r="L30" i="9"/>
  <c r="J30" i="9"/>
  <c r="H30" i="9"/>
  <c r="Z29" i="9"/>
  <c r="X29" i="9"/>
  <c r="V29" i="9"/>
  <c r="T29" i="9"/>
  <c r="R29" i="9"/>
  <c r="P29" i="9"/>
  <c r="N29" i="9"/>
  <c r="L29" i="9"/>
  <c r="J29" i="9"/>
  <c r="H29" i="9"/>
  <c r="Z28" i="9"/>
  <c r="X28" i="9"/>
  <c r="V28" i="9"/>
  <c r="T28" i="9"/>
  <c r="R28" i="9"/>
  <c r="P28" i="9"/>
  <c r="N28" i="9"/>
  <c r="L28" i="9"/>
  <c r="J28" i="9"/>
  <c r="H28" i="9"/>
  <c r="Z27" i="9"/>
  <c r="X27" i="9"/>
  <c r="V27" i="9"/>
  <c r="T27" i="9"/>
  <c r="R27" i="9"/>
  <c r="P27" i="9"/>
  <c r="N27" i="9"/>
  <c r="L27" i="9"/>
  <c r="J27" i="9"/>
  <c r="H27" i="9"/>
  <c r="Z26" i="9"/>
  <c r="X26" i="9"/>
  <c r="V26" i="9"/>
  <c r="T26" i="9"/>
  <c r="R26" i="9"/>
  <c r="P26" i="9"/>
  <c r="N26" i="9"/>
  <c r="L26" i="9"/>
  <c r="J26" i="9"/>
  <c r="H26" i="9"/>
  <c r="Z24" i="9"/>
  <c r="X24" i="9"/>
  <c r="V24" i="9"/>
  <c r="T24" i="9"/>
  <c r="R24" i="9"/>
  <c r="P24" i="9"/>
  <c r="N24" i="9"/>
  <c r="L24" i="9"/>
  <c r="J24" i="9"/>
  <c r="H24" i="9"/>
  <c r="Z23" i="9"/>
  <c r="X23" i="9"/>
  <c r="V23" i="9"/>
  <c r="T23" i="9"/>
  <c r="R23" i="9"/>
  <c r="P23" i="9"/>
  <c r="N23" i="9"/>
  <c r="L23" i="9"/>
  <c r="J23" i="9"/>
  <c r="H23" i="9"/>
  <c r="Z22" i="9"/>
  <c r="X22" i="9"/>
  <c r="V22" i="9"/>
  <c r="T22" i="9"/>
  <c r="R22" i="9"/>
  <c r="P22" i="9"/>
  <c r="N22" i="9"/>
  <c r="L22" i="9"/>
  <c r="J22" i="9"/>
  <c r="H22" i="9"/>
  <c r="Z21" i="9"/>
  <c r="X21" i="9"/>
  <c r="V21" i="9"/>
  <c r="T21" i="9"/>
  <c r="R21" i="9"/>
  <c r="P21" i="9"/>
  <c r="N21" i="9"/>
  <c r="L21" i="9"/>
  <c r="J21" i="9"/>
  <c r="H21" i="9"/>
  <c r="Z20" i="9"/>
  <c r="X20" i="9"/>
  <c r="V20" i="9"/>
  <c r="T20" i="9"/>
  <c r="R20" i="9"/>
  <c r="P20" i="9"/>
  <c r="N20" i="9"/>
  <c r="L20" i="9"/>
  <c r="J20" i="9"/>
  <c r="H20" i="9"/>
  <c r="Z19" i="9"/>
  <c r="X19" i="9"/>
  <c r="V19" i="9"/>
  <c r="T19" i="9"/>
  <c r="R19" i="9"/>
  <c r="P19" i="9"/>
  <c r="N19" i="9"/>
  <c r="L19" i="9"/>
  <c r="J19" i="9"/>
  <c r="H19" i="9"/>
  <c r="Z18" i="9"/>
  <c r="X18" i="9"/>
  <c r="V18" i="9"/>
  <c r="T18" i="9"/>
  <c r="R18" i="9"/>
  <c r="P18" i="9"/>
  <c r="N18" i="9"/>
  <c r="L18" i="9"/>
  <c r="J18" i="9"/>
  <c r="H18" i="9"/>
  <c r="Z17" i="9"/>
  <c r="X17" i="9"/>
  <c r="V17" i="9"/>
  <c r="T17" i="9"/>
  <c r="R17" i="9"/>
  <c r="P17" i="9"/>
  <c r="N17" i="9"/>
  <c r="L17" i="9"/>
  <c r="J17" i="9"/>
  <c r="H17" i="9"/>
  <c r="Z16" i="9"/>
  <c r="X16" i="9"/>
  <c r="V16" i="9"/>
  <c r="T16" i="9"/>
  <c r="R16" i="9"/>
  <c r="P16" i="9"/>
  <c r="N16" i="9"/>
  <c r="L16" i="9"/>
  <c r="J16" i="9"/>
  <c r="H16" i="9"/>
  <c r="Z15" i="9"/>
  <c r="X15" i="9"/>
  <c r="V15" i="9"/>
  <c r="T15" i="9"/>
  <c r="R15" i="9"/>
  <c r="P15" i="9"/>
  <c r="N15" i="9"/>
  <c r="L15" i="9"/>
  <c r="J15" i="9"/>
  <c r="H15" i="9"/>
  <c r="Z14" i="9"/>
  <c r="X14" i="9"/>
  <c r="V14" i="9"/>
  <c r="T14" i="9"/>
  <c r="R14" i="9"/>
  <c r="P14" i="9"/>
  <c r="N14" i="9"/>
  <c r="L14" i="9"/>
  <c r="J14" i="9"/>
  <c r="H14" i="9"/>
  <c r="Z13" i="9"/>
  <c r="X13" i="9"/>
  <c r="V13" i="9"/>
  <c r="T13" i="9"/>
  <c r="R13" i="9"/>
  <c r="P13" i="9"/>
  <c r="N13" i="9"/>
  <c r="L13" i="9"/>
  <c r="J13" i="9"/>
  <c r="H13" i="9"/>
  <c r="Z12" i="9"/>
  <c r="X12" i="9"/>
  <c r="V12" i="9"/>
  <c r="T12" i="9"/>
  <c r="R12" i="9"/>
  <c r="P12" i="9"/>
  <c r="N12" i="9"/>
  <c r="L12" i="9"/>
  <c r="J12" i="9"/>
  <c r="H12" i="9"/>
  <c r="Z11" i="9"/>
  <c r="X11" i="9"/>
  <c r="V11" i="9"/>
  <c r="T11" i="9"/>
  <c r="R11" i="9"/>
  <c r="P11" i="9"/>
  <c r="N11" i="9"/>
  <c r="L11" i="9"/>
  <c r="J11" i="9"/>
  <c r="H11" i="9"/>
  <c r="Z10" i="9"/>
  <c r="X10" i="9"/>
  <c r="V10" i="9"/>
  <c r="T10" i="9"/>
  <c r="R10" i="9"/>
  <c r="P10" i="9"/>
  <c r="N10" i="9"/>
  <c r="L10" i="9"/>
  <c r="J10" i="9"/>
  <c r="H10" i="9"/>
  <c r="Z9" i="9"/>
  <c r="X9" i="9"/>
  <c r="V9" i="9"/>
  <c r="T9" i="9"/>
  <c r="R9" i="9"/>
  <c r="P9" i="9"/>
  <c r="N9" i="9"/>
  <c r="L9" i="9"/>
  <c r="J9" i="9"/>
  <c r="H9" i="9"/>
  <c r="Z8" i="9"/>
  <c r="X8" i="9"/>
  <c r="V8" i="9"/>
  <c r="T8" i="9"/>
  <c r="R8" i="9"/>
  <c r="P8" i="9"/>
  <c r="N8" i="9"/>
  <c r="L8" i="9"/>
  <c r="J8" i="9"/>
  <c r="H8" i="9"/>
  <c r="AA34" i="9" l="1"/>
  <c r="AB34" i="9" s="1"/>
  <c r="AA12" i="9"/>
  <c r="AB12" i="9" s="1"/>
  <c r="AA17" i="9"/>
  <c r="AB17" i="9" s="1"/>
  <c r="AA117" i="9"/>
  <c r="AA61" i="9"/>
  <c r="AB61" i="9" s="1"/>
  <c r="AA118" i="9"/>
  <c r="AB118" i="9" s="1"/>
  <c r="AA124" i="9"/>
  <c r="AB124" i="9" s="1"/>
  <c r="AA134" i="9"/>
  <c r="AB134" i="9" s="1"/>
  <c r="AA136" i="9"/>
  <c r="AA138" i="9"/>
  <c r="AA140" i="9"/>
  <c r="AB140" i="9" s="1"/>
  <c r="AA142" i="9"/>
  <c r="AB142" i="9" s="1"/>
  <c r="AA145" i="9"/>
  <c r="AA147" i="9"/>
  <c r="AB147" i="9" s="1"/>
  <c r="AA168" i="9"/>
  <c r="AB168" i="9" s="1"/>
  <c r="AA66" i="9"/>
  <c r="AB66" i="9" s="1"/>
  <c r="AA74" i="9"/>
  <c r="AB74" i="9" s="1"/>
  <c r="AA78" i="9"/>
  <c r="AB78" i="9" s="1"/>
  <c r="AA82" i="9"/>
  <c r="AB82" i="9" s="1"/>
  <c r="AA90" i="9"/>
  <c r="AA164" i="9"/>
  <c r="AB164" i="9" s="1"/>
  <c r="AA9" i="9"/>
  <c r="AB9" i="9" s="1"/>
  <c r="AA15" i="9"/>
  <c r="AA26" i="9"/>
  <c r="AB26" i="9" s="1"/>
  <c r="AA30" i="9"/>
  <c r="AB30" i="9" s="1"/>
  <c r="AA31" i="9"/>
  <c r="AB31" i="9" s="1"/>
  <c r="AA32" i="9"/>
  <c r="AB32" i="9" s="1"/>
  <c r="AA37" i="9"/>
  <c r="AB37" i="9" s="1"/>
  <c r="AA39" i="9"/>
  <c r="AB39" i="9" s="1"/>
  <c r="AA72" i="9"/>
  <c r="AB72" i="9" s="1"/>
  <c r="AA79" i="9"/>
  <c r="AB79" i="9" s="1"/>
  <c r="AA121" i="9"/>
  <c r="AB121" i="9" s="1"/>
  <c r="AA126" i="9"/>
  <c r="AB126" i="9" s="1"/>
  <c r="AA170" i="9"/>
  <c r="AB170" i="9" s="1"/>
  <c r="AA171" i="9"/>
  <c r="AB171" i="9" s="1"/>
  <c r="AA172" i="9"/>
  <c r="AB172" i="9" s="1"/>
  <c r="AA173" i="9"/>
  <c r="AB173" i="9" s="1"/>
  <c r="AA156" i="9"/>
  <c r="AB156" i="9" s="1"/>
  <c r="AA11" i="9"/>
  <c r="AB11" i="9" s="1"/>
  <c r="AA8" i="9"/>
  <c r="AA50" i="9"/>
  <c r="AB50" i="9" s="1"/>
  <c r="AA54" i="9"/>
  <c r="AB54" i="9" s="1"/>
  <c r="AA149" i="9"/>
  <c r="AB149" i="9" s="1"/>
  <c r="AA151" i="9"/>
  <c r="AB151" i="9" s="1"/>
  <c r="AA153" i="9"/>
  <c r="AA162" i="9"/>
  <c r="AB162" i="9" s="1"/>
  <c r="AA163" i="9"/>
  <c r="AB163" i="9" s="1"/>
  <c r="AA166" i="9"/>
  <c r="AB166" i="9" s="1"/>
  <c r="AA169" i="9"/>
  <c r="AB169" i="9" s="1"/>
  <c r="AA165" i="9"/>
  <c r="AA167" i="9"/>
  <c r="AB167" i="9" s="1"/>
  <c r="AA155" i="9"/>
  <c r="AB155" i="9" s="1"/>
  <c r="AA158" i="9"/>
  <c r="AA160" i="9"/>
  <c r="AB160" i="9" s="1"/>
  <c r="AA157" i="9"/>
  <c r="AA159" i="9"/>
  <c r="AA148" i="9"/>
  <c r="AA150" i="9"/>
  <c r="AA152" i="9"/>
  <c r="AB152" i="9" s="1"/>
  <c r="AA154" i="9"/>
  <c r="AB154" i="9" s="1"/>
  <c r="AA146" i="9"/>
  <c r="AB146" i="9" s="1"/>
  <c r="AA135" i="9"/>
  <c r="AB135" i="9" s="1"/>
  <c r="AA137" i="9"/>
  <c r="AB137" i="9" s="1"/>
  <c r="AA139" i="9"/>
  <c r="AB139" i="9" s="1"/>
  <c r="AA141" i="9"/>
  <c r="AA143" i="9"/>
  <c r="AA129" i="9"/>
  <c r="AB129" i="9" s="1"/>
  <c r="AA131" i="9"/>
  <c r="AB131" i="9" s="1"/>
  <c r="AA133" i="9"/>
  <c r="AB133" i="9" s="1"/>
  <c r="AA128" i="9"/>
  <c r="AB128" i="9" s="1"/>
  <c r="AA130" i="9"/>
  <c r="AA132" i="9"/>
  <c r="AB132" i="9" s="1"/>
  <c r="AA119" i="9"/>
  <c r="AB119" i="9" s="1"/>
  <c r="AA122" i="9"/>
  <c r="AB122" i="9" s="1"/>
  <c r="AA120" i="9"/>
  <c r="AB120" i="9" s="1"/>
  <c r="AA123" i="9"/>
  <c r="AB123" i="9" s="1"/>
  <c r="AA115" i="9"/>
  <c r="AB115" i="9" s="1"/>
  <c r="AA116" i="9"/>
  <c r="AB116" i="9" s="1"/>
  <c r="AA125" i="9"/>
  <c r="AB125" i="9" s="1"/>
  <c r="AA112" i="9"/>
  <c r="AB112" i="9" s="1"/>
  <c r="AA114" i="9"/>
  <c r="AA113" i="9"/>
  <c r="AB113" i="9" s="1"/>
  <c r="AA111" i="9"/>
  <c r="AB111" i="9" s="1"/>
  <c r="AA94" i="9"/>
  <c r="AB94" i="9" s="1"/>
  <c r="AA91" i="9"/>
  <c r="AB91" i="9" s="1"/>
  <c r="AA84" i="9"/>
  <c r="AA87" i="9"/>
  <c r="AC87" i="9" s="1"/>
  <c r="AA89" i="9"/>
  <c r="AB89" i="9" s="1"/>
  <c r="AA92" i="9"/>
  <c r="AB92" i="9" s="1"/>
  <c r="AA85" i="9"/>
  <c r="AB85" i="9" s="1"/>
  <c r="AA86" i="9"/>
  <c r="AA88" i="9"/>
  <c r="AA77" i="9"/>
  <c r="AB77" i="9" s="1"/>
  <c r="AA80" i="9"/>
  <c r="AB80" i="9" s="1"/>
  <c r="AA83" i="9"/>
  <c r="AA81" i="9"/>
  <c r="AB81" i="9" s="1"/>
  <c r="AA65" i="9"/>
  <c r="AB65" i="9" s="1"/>
  <c r="AA70" i="9"/>
  <c r="AA68" i="9"/>
  <c r="AB68" i="9" s="1"/>
  <c r="AA75" i="9"/>
  <c r="AB75" i="9" s="1"/>
  <c r="AA71" i="9"/>
  <c r="AB71" i="9" s="1"/>
  <c r="AA73" i="9"/>
  <c r="AB73" i="9" s="1"/>
  <c r="AA67" i="9"/>
  <c r="AB67" i="9" s="1"/>
  <c r="AA69" i="9"/>
  <c r="AB69" i="9" s="1"/>
  <c r="AA63" i="9"/>
  <c r="AB63" i="9" s="1"/>
  <c r="AA60" i="9"/>
  <c r="AB60" i="9" s="1"/>
  <c r="AA64" i="9"/>
  <c r="AB64" i="9" s="1"/>
  <c r="AA62" i="9"/>
  <c r="AB62" i="9" s="1"/>
  <c r="AA52" i="9"/>
  <c r="AB52" i="9" s="1"/>
  <c r="AA46" i="9"/>
  <c r="AB46" i="9" s="1"/>
  <c r="AA47" i="9"/>
  <c r="AB47" i="9" s="1"/>
  <c r="AA49" i="9"/>
  <c r="AB49" i="9" s="1"/>
  <c r="AA53" i="9"/>
  <c r="AB53" i="9" s="1"/>
  <c r="AA56" i="9"/>
  <c r="AB56" i="9" s="1"/>
  <c r="AA58" i="9"/>
  <c r="AB58" i="9" s="1"/>
  <c r="AA45" i="9"/>
  <c r="AA48" i="9"/>
  <c r="AA51" i="9"/>
  <c r="AA55" i="9"/>
  <c r="AA57" i="9"/>
  <c r="AA44" i="9"/>
  <c r="AB44" i="9" s="1"/>
  <c r="AA43" i="9"/>
  <c r="AB43" i="9" s="1"/>
  <c r="AA38" i="9"/>
  <c r="AB38" i="9" s="1"/>
  <c r="AA41" i="9"/>
  <c r="AB41" i="9" s="1"/>
  <c r="AA28" i="9"/>
  <c r="AB28" i="9" s="1"/>
  <c r="AA33" i="9"/>
  <c r="AB33" i="9" s="1"/>
  <c r="AA36" i="9"/>
  <c r="AB36" i="9" s="1"/>
  <c r="AA27" i="9"/>
  <c r="AB27" i="9" s="1"/>
  <c r="AA29" i="9"/>
  <c r="AB29" i="9" s="1"/>
  <c r="AA35" i="9"/>
  <c r="AB35" i="9" s="1"/>
  <c r="AA40" i="9"/>
  <c r="AB40" i="9" s="1"/>
  <c r="AA23" i="9"/>
  <c r="AB23" i="9" s="1"/>
  <c r="AA24" i="9"/>
  <c r="AB24" i="9" s="1"/>
  <c r="AA21" i="9"/>
  <c r="AB21" i="9" s="1"/>
  <c r="AA13" i="9"/>
  <c r="AB13" i="9" s="1"/>
  <c r="AA16" i="9"/>
  <c r="AC16" i="9" s="1"/>
  <c r="AA22" i="9"/>
  <c r="AC22" i="9" s="1"/>
  <c r="AA10" i="9"/>
  <c r="AB10" i="9" s="1"/>
  <c r="AA19" i="9"/>
  <c r="AA14" i="9"/>
  <c r="AB14" i="9" s="1"/>
  <c r="AA18" i="9"/>
  <c r="AB18" i="9" s="1"/>
  <c r="AA20" i="9"/>
  <c r="AB20" i="9" l="1"/>
  <c r="AC20" i="9"/>
  <c r="AB130" i="9"/>
  <c r="AC130" i="9"/>
  <c r="AB70" i="9"/>
  <c r="AC70" i="9"/>
  <c r="AB143" i="9"/>
  <c r="AC143" i="9"/>
  <c r="AB150" i="9"/>
  <c r="AC150" i="9"/>
  <c r="AB165" i="9"/>
  <c r="AC165" i="9"/>
  <c r="AB138" i="9"/>
  <c r="AC138" i="9"/>
  <c r="AB55" i="9"/>
  <c r="AC55" i="9"/>
  <c r="AB157" i="9"/>
  <c r="AC157" i="9"/>
  <c r="AB15" i="9"/>
  <c r="AC15" i="9"/>
  <c r="AB48" i="9"/>
  <c r="AC48" i="9"/>
  <c r="AB114" i="9"/>
  <c r="AC114" i="9"/>
  <c r="AB141" i="9"/>
  <c r="AC141" i="9"/>
  <c r="AB148" i="9"/>
  <c r="AC148" i="9"/>
  <c r="AB158" i="9"/>
  <c r="AC158" i="9"/>
  <c r="AB153" i="9"/>
  <c r="AC153" i="9"/>
  <c r="AB145" i="9"/>
  <c r="AC145" i="9"/>
  <c r="AB136" i="9"/>
  <c r="AC136" i="9"/>
  <c r="AB83" i="9"/>
  <c r="AC83" i="9"/>
  <c r="AB86" i="9"/>
  <c r="AC86" i="9"/>
  <c r="AB19" i="9"/>
  <c r="AC19" i="9"/>
  <c r="AB57" i="9"/>
  <c r="AC57" i="9"/>
  <c r="AB45" i="9"/>
  <c r="AC45" i="9"/>
  <c r="AB88" i="9"/>
  <c r="AC88" i="9"/>
  <c r="AB159" i="9"/>
  <c r="AC159" i="9"/>
  <c r="AB90" i="9"/>
  <c r="AC90" i="9"/>
  <c r="AB117" i="9"/>
  <c r="AC117" i="9"/>
  <c r="AE39" i="9"/>
  <c r="AF39" i="9" s="1"/>
  <c r="AG39" i="9" s="1"/>
  <c r="AE126" i="9"/>
  <c r="AF126" i="9" s="1"/>
  <c r="AG126" i="9" s="1"/>
  <c r="AI126" i="9" s="1"/>
  <c r="AE131" i="9"/>
  <c r="AF131" i="9" s="1"/>
  <c r="AG131" i="9" s="1"/>
  <c r="AI131" i="9" s="1"/>
  <c r="AE170" i="9"/>
  <c r="AE155" i="9"/>
  <c r="AF155" i="9" s="1"/>
  <c r="AG155" i="9" s="1"/>
  <c r="AE78" i="9"/>
  <c r="AF78" i="9" s="1"/>
  <c r="AG78" i="9" s="1"/>
  <c r="AE154" i="9"/>
  <c r="AE74" i="9"/>
  <c r="AF74" i="9" s="1"/>
  <c r="AE71" i="9"/>
  <c r="AF71" i="9" s="1"/>
  <c r="AG71" i="9" s="1"/>
  <c r="AI71" i="9" s="1"/>
  <c r="AE80" i="9"/>
  <c r="AF80" i="9" s="1"/>
  <c r="AG80" i="9" s="1"/>
  <c r="AE146" i="9"/>
  <c r="AE124" i="9"/>
  <c r="AF124" i="9" s="1"/>
  <c r="AE72" i="9"/>
  <c r="AE9" i="9"/>
  <c r="AF9" i="9" s="1"/>
  <c r="AG9" i="9" s="1"/>
  <c r="AE37" i="9"/>
  <c r="AE65" i="9"/>
  <c r="AE134" i="9"/>
  <c r="AE140" i="9"/>
  <c r="AF140" i="9" s="1"/>
  <c r="AG140" i="9" s="1"/>
  <c r="AI140" i="9" s="1"/>
  <c r="AE111" i="9"/>
  <c r="AE58" i="9"/>
  <c r="AE50" i="9"/>
  <c r="AF50" i="9" s="1"/>
  <c r="AG50" i="9" s="1"/>
  <c r="AE67" i="9"/>
  <c r="AE82" i="9"/>
  <c r="AE149" i="9"/>
  <c r="AF149" i="9" s="1"/>
  <c r="AG149" i="9" s="1"/>
  <c r="AI149" i="9" s="1"/>
  <c r="AE152" i="9"/>
  <c r="AF152" i="9" s="1"/>
  <c r="AG152" i="9" s="1"/>
  <c r="AI152" i="9" s="1"/>
  <c r="AE166" i="9"/>
  <c r="AF166" i="9" s="1"/>
  <c r="AE173" i="9"/>
  <c r="AF173" i="9" s="1"/>
  <c r="AG173" i="9" s="1"/>
  <c r="AI173" i="9" s="1"/>
  <c r="AF170" i="9"/>
  <c r="AG170" i="9" s="1"/>
  <c r="AI170" i="9" s="1"/>
  <c r="AE168" i="9"/>
  <c r="AF168" i="9" s="1"/>
  <c r="AE169" i="9"/>
  <c r="AE163" i="9"/>
  <c r="AE156" i="9"/>
  <c r="AF156" i="9" s="1"/>
  <c r="AE160" i="9"/>
  <c r="AE147" i="9"/>
  <c r="AF147" i="9" s="1"/>
  <c r="AG147" i="9" s="1"/>
  <c r="AE151" i="9"/>
  <c r="AF151" i="9" s="1"/>
  <c r="AG151" i="9" s="1"/>
  <c r="AI151" i="9" s="1"/>
  <c r="AE137" i="9"/>
  <c r="AF137" i="9" s="1"/>
  <c r="AG137" i="9" s="1"/>
  <c r="AI137" i="9" s="1"/>
  <c r="AE135" i="9"/>
  <c r="AE121" i="9"/>
  <c r="AE120" i="9"/>
  <c r="AE118" i="9"/>
  <c r="AF118" i="9" s="1"/>
  <c r="AE116" i="9"/>
  <c r="AE122" i="9"/>
  <c r="AE125" i="9"/>
  <c r="AE115" i="9"/>
  <c r="AE113" i="9"/>
  <c r="AF113" i="9" s="1"/>
  <c r="AE94" i="9"/>
  <c r="AE85" i="9"/>
  <c r="AB87" i="9"/>
  <c r="AB84" i="9"/>
  <c r="AE81" i="9"/>
  <c r="AE66" i="9"/>
  <c r="AF66" i="9" s="1"/>
  <c r="AG66" i="9" s="1"/>
  <c r="AE75" i="9"/>
  <c r="AE73" i="9"/>
  <c r="AE68" i="9"/>
  <c r="AE60" i="9"/>
  <c r="AF60" i="9" s="1"/>
  <c r="AG60" i="9" s="1"/>
  <c r="AE61" i="9"/>
  <c r="AF61" i="9" s="1"/>
  <c r="AE64" i="9"/>
  <c r="AE49" i="9"/>
  <c r="AF49" i="9" s="1"/>
  <c r="AE56" i="9"/>
  <c r="AE54" i="9"/>
  <c r="AB51" i="9"/>
  <c r="AE47" i="9"/>
  <c r="AE46" i="9"/>
  <c r="AE52" i="9"/>
  <c r="AF52" i="9" s="1"/>
  <c r="AG52" i="9" s="1"/>
  <c r="AE43" i="9"/>
  <c r="AE35" i="9"/>
  <c r="AE31" i="9"/>
  <c r="AE27" i="9"/>
  <c r="AE26" i="9"/>
  <c r="AF26" i="9" s="1"/>
  <c r="AE38" i="9"/>
  <c r="AE40" i="9"/>
  <c r="AE34" i="9"/>
  <c r="AF34" i="9" s="1"/>
  <c r="AE33" i="9"/>
  <c r="AF33" i="9" s="1"/>
  <c r="AE30" i="9"/>
  <c r="AF30" i="9" s="1"/>
  <c r="AE29" i="9"/>
  <c r="AF29" i="9" s="1"/>
  <c r="AG29" i="9" s="1"/>
  <c r="AI29" i="9" s="1"/>
  <c r="AE28" i="9"/>
  <c r="AF28" i="9" s="1"/>
  <c r="AE23" i="9"/>
  <c r="AB16" i="9"/>
  <c r="AE11" i="9"/>
  <c r="AF11" i="9" s="1"/>
  <c r="AE8" i="9"/>
  <c r="AF8" i="9" s="1"/>
  <c r="AG8" i="9" s="1"/>
  <c r="AE13" i="9"/>
  <c r="AB22" i="9"/>
  <c r="AE18" i="9"/>
  <c r="AF18" i="9" s="1"/>
  <c r="AG18" i="9" s="1"/>
  <c r="AI18" i="9" s="1"/>
  <c r="AE17" i="9"/>
  <c r="AF17" i="9" s="1"/>
  <c r="AG17" i="9" s="1"/>
  <c r="AI17" i="9" s="1"/>
  <c r="AE12" i="9"/>
  <c r="AF12" i="9" s="1"/>
  <c r="AE14" i="9"/>
  <c r="AF14" i="9" s="1"/>
  <c r="AG14" i="9" s="1"/>
  <c r="AE20" i="9"/>
  <c r="AE159" i="9" l="1"/>
  <c r="AE19" i="9"/>
  <c r="AE141" i="9"/>
  <c r="AF141" i="9" s="1"/>
  <c r="AG141" i="9" s="1"/>
  <c r="AI141" i="9" s="1"/>
  <c r="AE158" i="9"/>
  <c r="AF158" i="9" s="1"/>
  <c r="AG158" i="9" s="1"/>
  <c r="AI158" i="9" s="1"/>
  <c r="AE153" i="9"/>
  <c r="AF153" i="9" s="1"/>
  <c r="AG153" i="9" s="1"/>
  <c r="AI153" i="9" s="1"/>
  <c r="AE114" i="9"/>
  <c r="AF114" i="9" s="1"/>
  <c r="AE117" i="9"/>
  <c r="AF117" i="9" s="1"/>
  <c r="AE45" i="9"/>
  <c r="AF45" i="9" s="1"/>
  <c r="AG45" i="9" s="1"/>
  <c r="AI45" i="9" s="1"/>
  <c r="AE48" i="9"/>
  <c r="AF48" i="9" s="1"/>
  <c r="AE138" i="9"/>
  <c r="AF138" i="9" s="1"/>
  <c r="AG138" i="9" s="1"/>
  <c r="AI138" i="9" s="1"/>
  <c r="AE150" i="9"/>
  <c r="AF150" i="9" s="1"/>
  <c r="AE136" i="9"/>
  <c r="AF136" i="9" s="1"/>
  <c r="AG136" i="9" s="1"/>
  <c r="AI136" i="9" s="1"/>
  <c r="AE145" i="9"/>
  <c r="AE15" i="9"/>
  <c r="AF15" i="9" s="1"/>
  <c r="AG15" i="9" s="1"/>
  <c r="AI15" i="9" s="1"/>
  <c r="AE55" i="9"/>
  <c r="AF55" i="9" s="1"/>
  <c r="AG55" i="9" s="1"/>
  <c r="AI55" i="9" s="1"/>
  <c r="AE143" i="9"/>
  <c r="AF143" i="9" s="1"/>
  <c r="AE90" i="9"/>
  <c r="AF90" i="9" s="1"/>
  <c r="AG90" i="9" s="1"/>
  <c r="AI90" i="9" s="1"/>
  <c r="AE88" i="9"/>
  <c r="AF88" i="9" s="1"/>
  <c r="AG88" i="9" s="1"/>
  <c r="AI88" i="9" s="1"/>
  <c r="AE86" i="9"/>
  <c r="AF86" i="9" s="1"/>
  <c r="AG86" i="9" s="1"/>
  <c r="AI86" i="9" s="1"/>
  <c r="AG74" i="9"/>
  <c r="AI74" i="9" s="1"/>
  <c r="AF146" i="9"/>
  <c r="AG146" i="9" s="1"/>
  <c r="AI146" i="9" s="1"/>
  <c r="AF111" i="9"/>
  <c r="AG111" i="9" s="1"/>
  <c r="AF72" i="9"/>
  <c r="AG72" i="9" s="1"/>
  <c r="AI72" i="9" s="1"/>
  <c r="AE32" i="9"/>
  <c r="AF32" i="9" s="1"/>
  <c r="AG32" i="9" s="1"/>
  <c r="AI32" i="9" s="1"/>
  <c r="AF58" i="9"/>
  <c r="AG58" i="9" s="1"/>
  <c r="AG124" i="9"/>
  <c r="AF37" i="9"/>
  <c r="AG37" i="9" s="1"/>
  <c r="AI37" i="9" s="1"/>
  <c r="AF154" i="9"/>
  <c r="AG154" i="9" s="1"/>
  <c r="AF20" i="9"/>
  <c r="AG20" i="9" s="1"/>
  <c r="AI20" i="9" s="1"/>
  <c r="AG33" i="9"/>
  <c r="AF40" i="9"/>
  <c r="AG40" i="9" s="1"/>
  <c r="AF65" i="9"/>
  <c r="AG65" i="9" s="1"/>
  <c r="AI65" i="9" s="1"/>
  <c r="AG28" i="9"/>
  <c r="AE44" i="9"/>
  <c r="AF44" i="9" s="1"/>
  <c r="AE62" i="9"/>
  <c r="AF62" i="9" s="1"/>
  <c r="AG62" i="9" s="1"/>
  <c r="AE92" i="9"/>
  <c r="AF92" i="9" s="1"/>
  <c r="AE123" i="9"/>
  <c r="AF123" i="9" s="1"/>
  <c r="AG123" i="9" s="1"/>
  <c r="AF134" i="9"/>
  <c r="AG134" i="9" s="1"/>
  <c r="AI134" i="9" s="1"/>
  <c r="AE112" i="9"/>
  <c r="AE142" i="9"/>
  <c r="AF142" i="9" s="1"/>
  <c r="AG142" i="9" s="1"/>
  <c r="AI142" i="9" s="1"/>
  <c r="AG11" i="9"/>
  <c r="AG26" i="9"/>
  <c r="AE57" i="9"/>
  <c r="AF57" i="9" s="1"/>
  <c r="AG57" i="9" s="1"/>
  <c r="AI57" i="9" s="1"/>
  <c r="AG118" i="9"/>
  <c r="AI118" i="9" s="1"/>
  <c r="AF145" i="9"/>
  <c r="AG145" i="9" s="1"/>
  <c r="AI145" i="9" s="1"/>
  <c r="AF163" i="9"/>
  <c r="AG163" i="9" s="1"/>
  <c r="AE171" i="9"/>
  <c r="AF171" i="9" s="1"/>
  <c r="AE79" i="9"/>
  <c r="AF79" i="9" s="1"/>
  <c r="AF82" i="9"/>
  <c r="AG82" i="9" s="1"/>
  <c r="AG168" i="9"/>
  <c r="AE165" i="9"/>
  <c r="AF165" i="9" s="1"/>
  <c r="AG165" i="9" s="1"/>
  <c r="AI165" i="9" s="1"/>
  <c r="AE167" i="9"/>
  <c r="AF167" i="9" s="1"/>
  <c r="AF169" i="9"/>
  <c r="AG169" i="9" s="1"/>
  <c r="AE172" i="9"/>
  <c r="AF172" i="9" s="1"/>
  <c r="AG166" i="9"/>
  <c r="AI166" i="9" s="1"/>
  <c r="AE164" i="9"/>
  <c r="AE162" i="9"/>
  <c r="AE157" i="9"/>
  <c r="AF159" i="9"/>
  <c r="AG159" i="9" s="1"/>
  <c r="AI159" i="9" s="1"/>
  <c r="AF160" i="9"/>
  <c r="AG160" i="9" s="1"/>
  <c r="AG156" i="9"/>
  <c r="AE148" i="9"/>
  <c r="AF148" i="9" s="1"/>
  <c r="AE128" i="9"/>
  <c r="AF128" i="9" s="1"/>
  <c r="AG128" i="9" s="1"/>
  <c r="AI128" i="9" s="1"/>
  <c r="AE133" i="9"/>
  <c r="AF133" i="9" s="1"/>
  <c r="AG133" i="9" s="1"/>
  <c r="AE132" i="9"/>
  <c r="AF132" i="9" s="1"/>
  <c r="AG132" i="9" s="1"/>
  <c r="AI132" i="9" s="1"/>
  <c r="AF135" i="9"/>
  <c r="AG135" i="9" s="1"/>
  <c r="AI135" i="9" s="1"/>
  <c r="AE129" i="9"/>
  <c r="AF129" i="9" s="1"/>
  <c r="AE139" i="9"/>
  <c r="AF139" i="9" s="1"/>
  <c r="AE130" i="9"/>
  <c r="AF130" i="9" s="1"/>
  <c r="AF120" i="9"/>
  <c r="AG120" i="9" s="1"/>
  <c r="AF125" i="9"/>
  <c r="AG125" i="9" s="1"/>
  <c r="AF122" i="9"/>
  <c r="AG122" i="9" s="1"/>
  <c r="AE119" i="9"/>
  <c r="AF119" i="9" s="1"/>
  <c r="AF115" i="9"/>
  <c r="AG115" i="9" s="1"/>
  <c r="AI115" i="9" s="1"/>
  <c r="AF116" i="9"/>
  <c r="AG116" i="9" s="1"/>
  <c r="AI116" i="9" s="1"/>
  <c r="AF121" i="9"/>
  <c r="AG121" i="9" s="1"/>
  <c r="AI121" i="9" s="1"/>
  <c r="AG113" i="9"/>
  <c r="AI113" i="9" s="1"/>
  <c r="AF94" i="9"/>
  <c r="AG94" i="9" s="1"/>
  <c r="AI94" i="9" s="1"/>
  <c r="AE91" i="9"/>
  <c r="AF91" i="9" s="1"/>
  <c r="AG91" i="9" s="1"/>
  <c r="AF85" i="9"/>
  <c r="AG85" i="9" s="1"/>
  <c r="AE87" i="9"/>
  <c r="AF87" i="9" s="1"/>
  <c r="AE89" i="9"/>
  <c r="AF89" i="9" s="1"/>
  <c r="AG89" i="9" s="1"/>
  <c r="AE84" i="9"/>
  <c r="AE83" i="9"/>
  <c r="AF83" i="9" s="1"/>
  <c r="AG83" i="9" s="1"/>
  <c r="AI83" i="9" s="1"/>
  <c r="AE77" i="9"/>
  <c r="AF81" i="9"/>
  <c r="AG81" i="9" s="1"/>
  <c r="AI81" i="9" s="1"/>
  <c r="AF68" i="9"/>
  <c r="AG68" i="9" s="1"/>
  <c r="AI68" i="9" s="1"/>
  <c r="AF75" i="9"/>
  <c r="AG75" i="9" s="1"/>
  <c r="AF67" i="9"/>
  <c r="AG67" i="9" s="1"/>
  <c r="AI67" i="9" s="1"/>
  <c r="AE70" i="9"/>
  <c r="AF70" i="9" s="1"/>
  <c r="AF73" i="9"/>
  <c r="AG73" i="9" s="1"/>
  <c r="AE69" i="9"/>
  <c r="AF69" i="9" s="1"/>
  <c r="AG61" i="9"/>
  <c r="AE63" i="9"/>
  <c r="AF64" i="9"/>
  <c r="AG64" i="9" s="1"/>
  <c r="AF56" i="9"/>
  <c r="AG56" i="9" s="1"/>
  <c r="AI56" i="9" s="1"/>
  <c r="AF47" i="9"/>
  <c r="AG47" i="9" s="1"/>
  <c r="AI47" i="9" s="1"/>
  <c r="AF46" i="9"/>
  <c r="AG46" i="9" s="1"/>
  <c r="AE51" i="9"/>
  <c r="AG49" i="9"/>
  <c r="AE53" i="9"/>
  <c r="AF53" i="9" s="1"/>
  <c r="AG53" i="9" s="1"/>
  <c r="AF54" i="9"/>
  <c r="AG54" i="9" s="1"/>
  <c r="AF43" i="9"/>
  <c r="AG43" i="9" s="1"/>
  <c r="AF35" i="9"/>
  <c r="AG35" i="9" s="1"/>
  <c r="AI35" i="9" s="1"/>
  <c r="AG34" i="9"/>
  <c r="AE36" i="9"/>
  <c r="AF36" i="9" s="1"/>
  <c r="AG36" i="9" s="1"/>
  <c r="AG30" i="9"/>
  <c r="AI30" i="9" s="1"/>
  <c r="AF27" i="9"/>
  <c r="AG27" i="9" s="1"/>
  <c r="AE41" i="9"/>
  <c r="AF31" i="9"/>
  <c r="AG31" i="9" s="1"/>
  <c r="AF38" i="9"/>
  <c r="AG38" i="9" s="1"/>
  <c r="AI38" i="9" s="1"/>
  <c r="AE24" i="9"/>
  <c r="AF24" i="9" s="1"/>
  <c r="AF23" i="9"/>
  <c r="AG23" i="9" s="1"/>
  <c r="AE10" i="9"/>
  <c r="AF10" i="9" s="1"/>
  <c r="AF19" i="9"/>
  <c r="AG19" i="9" s="1"/>
  <c r="AI19" i="9" s="1"/>
  <c r="AE16" i="9"/>
  <c r="AF16" i="9"/>
  <c r="AF13" i="9"/>
  <c r="AG13" i="9" s="1"/>
  <c r="AE21" i="9"/>
  <c r="AG12" i="9"/>
  <c r="AI12" i="9" s="1"/>
  <c r="AE22" i="9"/>
  <c r="AG117" i="9" l="1"/>
  <c r="AI117" i="9" s="1"/>
  <c r="AG48" i="9"/>
  <c r="AI48" i="9" s="1"/>
  <c r="AG143" i="9"/>
  <c r="AI143" i="9" s="1"/>
  <c r="AG114" i="9"/>
  <c r="AI114" i="9" s="1"/>
  <c r="AG150" i="9"/>
  <c r="AI150" i="9" s="1"/>
  <c r="AG130" i="9"/>
  <c r="AI130" i="9" s="1"/>
  <c r="AG139" i="9"/>
  <c r="AI139" i="9" s="1"/>
  <c r="AF164" i="9"/>
  <c r="AG164" i="9" s="1"/>
  <c r="AG92" i="9"/>
  <c r="AF22" i="9"/>
  <c r="AG22" i="9" s="1"/>
  <c r="AI22" i="9" s="1"/>
  <c r="AG69" i="9"/>
  <c r="AG172" i="9"/>
  <c r="AI172" i="9" s="1"/>
  <c r="AF112" i="9"/>
  <c r="AG112" i="9" s="1"/>
  <c r="AI112" i="9" s="1"/>
  <c r="AG79" i="9"/>
  <c r="AF63" i="9"/>
  <c r="AG63" i="9" s="1"/>
  <c r="AF77" i="9"/>
  <c r="AG77" i="9" s="1"/>
  <c r="AI77" i="9" s="1"/>
  <c r="AF157" i="9"/>
  <c r="AG157" i="9" s="1"/>
  <c r="AI157" i="9" s="1"/>
  <c r="AG167" i="9"/>
  <c r="AG171" i="9"/>
  <c r="AI171" i="9" s="1"/>
  <c r="AG44" i="9"/>
  <c r="AF162" i="9"/>
  <c r="AG162" i="9" s="1"/>
  <c r="AG148" i="9"/>
  <c r="AI148" i="9" s="1"/>
  <c r="AG129" i="9"/>
  <c r="AI129" i="9" s="1"/>
  <c r="AG119" i="9"/>
  <c r="AF84" i="9"/>
  <c r="AG84" i="9" s="1"/>
  <c r="AG87" i="9"/>
  <c r="AI87" i="9" s="1"/>
  <c r="AG70" i="9"/>
  <c r="AI70" i="9" s="1"/>
  <c r="AF51" i="9"/>
  <c r="AG51" i="9" s="1"/>
  <c r="AF41" i="9"/>
  <c r="AG41" i="9" s="1"/>
  <c r="AI41" i="9" s="1"/>
  <c r="AG24" i="9"/>
  <c r="AG16" i="9"/>
  <c r="AI16" i="9" s="1"/>
  <c r="AH16" i="9"/>
  <c r="AG10" i="9"/>
  <c r="AI10" i="9" s="1"/>
  <c r="AF21" i="9"/>
  <c r="AG21" i="9" s="1"/>
  <c r="AK108" i="9" l="1"/>
  <c r="AK145" i="9" l="1"/>
  <c r="AK134" i="9"/>
  <c r="AK126" i="9"/>
  <c r="AK121" i="9"/>
  <c r="AK135" i="9"/>
  <c r="AK103" i="9"/>
  <c r="AK100" i="9"/>
  <c r="AK172" i="9"/>
  <c r="AK137" i="9"/>
  <c r="AK148" i="9"/>
  <c r="AK155" i="9"/>
  <c r="AK119" i="9"/>
  <c r="AK171" i="9"/>
  <c r="AK120" i="9"/>
  <c r="AK166" i="9"/>
  <c r="AK132" i="9"/>
  <c r="AK142" i="9"/>
  <c r="AK138" i="9"/>
  <c r="AK169" i="9"/>
  <c r="AK109" i="9"/>
  <c r="AK97" i="9"/>
  <c r="AK96" i="9"/>
  <c r="AK106" i="9"/>
  <c r="AK104" i="9"/>
  <c r="AK128" i="9" l="1"/>
  <c r="AK11" i="9"/>
  <c r="AK162" i="9"/>
  <c r="AK157" i="9"/>
  <c r="AK115" i="9"/>
  <c r="AK136" i="9"/>
  <c r="AK123" i="9"/>
  <c r="AK113" i="9"/>
  <c r="AK107" i="9"/>
  <c r="AK95" i="9"/>
  <c r="AK84" i="9"/>
  <c r="AK91" i="9"/>
  <c r="AK46" i="9"/>
  <c r="AK52" i="9"/>
  <c r="AK173" i="9"/>
  <c r="AK133" i="9"/>
  <c r="AK141" i="9"/>
  <c r="AK147" i="9"/>
  <c r="AK131" i="9"/>
  <c r="AK116" i="9"/>
  <c r="AK151" i="9"/>
  <c r="AK165" i="9"/>
  <c r="AK163" i="9"/>
  <c r="AK124" i="9"/>
  <c r="AK164" i="9"/>
  <c r="AK140" i="9"/>
  <c r="AK150" i="9"/>
  <c r="AK129" i="9"/>
  <c r="AK118" i="9"/>
  <c r="AK167" i="9"/>
  <c r="AK156" i="9"/>
  <c r="AK159" i="9"/>
  <c r="AK149" i="9"/>
  <c r="AK160" i="9"/>
  <c r="AK117" i="9"/>
  <c r="AK168" i="9"/>
  <c r="AK125" i="9"/>
  <c r="AK152" i="9"/>
  <c r="AK170" i="9"/>
  <c r="AK105" i="9"/>
  <c r="AK102" i="9"/>
  <c r="AK114" i="9"/>
  <c r="AK98" i="9"/>
  <c r="AK101" i="9"/>
  <c r="AK112" i="9"/>
  <c r="AK92" i="9"/>
  <c r="AK88" i="9"/>
  <c r="AK89" i="9"/>
  <c r="AK94" i="9"/>
  <c r="AK54" i="9"/>
  <c r="AK56" i="9"/>
  <c r="AK60" i="9"/>
  <c r="AK73" i="9"/>
  <c r="AK70" i="9"/>
  <c r="AK69" i="9"/>
  <c r="AK49" i="9"/>
  <c r="AK83" i="9"/>
  <c r="AK66" i="9"/>
  <c r="AK75" i="9"/>
  <c r="AK30" i="9"/>
  <c r="AK40" i="9"/>
  <c r="AK38" i="9"/>
  <c r="AK17" i="9"/>
  <c r="AK22" i="9"/>
  <c r="AK13" i="9"/>
  <c r="AK67" i="9" l="1"/>
  <c r="AK32" i="9"/>
  <c r="AK51" i="9"/>
  <c r="AK19" i="9"/>
  <c r="AK158" i="9"/>
  <c r="AK153" i="9"/>
  <c r="AK146" i="9"/>
  <c r="AK122" i="9"/>
  <c r="AK99" i="9"/>
  <c r="AK111" i="9"/>
  <c r="AK86" i="9"/>
  <c r="AK90" i="9"/>
  <c r="AK74" i="9"/>
  <c r="AK45" i="9"/>
  <c r="AK50" i="9"/>
  <c r="AK53" i="9"/>
  <c r="AK48" i="9"/>
  <c r="AK36" i="9"/>
  <c r="AK31" i="9"/>
  <c r="AK139" i="9"/>
  <c r="AK154" i="9"/>
  <c r="AK143" i="9"/>
  <c r="AK130" i="9"/>
  <c r="AK87" i="9"/>
  <c r="AK85" i="9"/>
  <c r="AK44" i="9"/>
  <c r="AK65" i="9"/>
  <c r="AK55" i="9"/>
  <c r="AK80" i="9"/>
  <c r="AK79" i="9"/>
  <c r="AK81" i="9"/>
  <c r="AK62" i="9"/>
  <c r="AK68" i="9"/>
  <c r="AK47" i="9"/>
  <c r="AK58" i="9"/>
  <c r="AK82" i="9"/>
  <c r="AK63" i="9"/>
  <c r="AK57" i="9"/>
  <c r="AK78" i="9"/>
  <c r="AK71" i="9"/>
  <c r="AK23" i="9"/>
  <c r="AK27" i="9"/>
  <c r="AK26" i="9"/>
  <c r="AK33" i="9"/>
  <c r="AK24" i="9"/>
  <c r="AK41" i="9"/>
  <c r="AK29" i="9"/>
  <c r="AK34" i="9"/>
  <c r="AK39" i="9"/>
  <c r="AK10" i="9"/>
  <c r="AK12" i="9"/>
  <c r="AK8" i="9"/>
  <c r="AK18" i="9"/>
  <c r="AK14" i="9"/>
  <c r="AK21" i="9"/>
  <c r="AK9" i="9"/>
  <c r="AK20" i="9"/>
  <c r="AK64" i="9" l="1"/>
  <c r="AK28" i="9"/>
  <c r="AK61" i="9"/>
  <c r="AK77" i="9"/>
  <c r="AK72" i="9"/>
  <c r="AK43" i="9"/>
  <c r="AK35" i="9"/>
  <c r="AK37" i="9"/>
  <c r="AK15" i="9"/>
</calcChain>
</file>

<file path=xl/sharedStrings.xml><?xml version="1.0" encoding="utf-8"?>
<sst xmlns="http://schemas.openxmlformats.org/spreadsheetml/2006/main" count="1157" uniqueCount="492">
  <si>
    <t>D</t>
  </si>
  <si>
    <t>C</t>
  </si>
  <si>
    <t>S</t>
  </si>
  <si>
    <t>F</t>
  </si>
  <si>
    <t>Total</t>
  </si>
  <si>
    <t>Average</t>
  </si>
  <si>
    <t>-</t>
  </si>
  <si>
    <t xml:space="preserve">Absent </t>
  </si>
  <si>
    <t>Class</t>
  </si>
  <si>
    <t>Grade</t>
  </si>
  <si>
    <t>Candidate's Name</t>
  </si>
  <si>
    <t>NIC Number</t>
  </si>
  <si>
    <t>Index No.</t>
  </si>
  <si>
    <t>No</t>
  </si>
  <si>
    <t>National Co-operative Council of Sri Lanka</t>
  </si>
  <si>
    <t>Repeat</t>
  </si>
  <si>
    <t>Badal Gedara Saman Kumara Abewardhana</t>
  </si>
  <si>
    <t>75320328V</t>
  </si>
  <si>
    <t>Upasaka Ralalage Sajith Bandara</t>
  </si>
  <si>
    <t>912810607V</t>
  </si>
  <si>
    <t>Bathgala Walawwe Roshan Maduranga Jayasekara</t>
  </si>
  <si>
    <t>Lokuge Amila Nishani</t>
  </si>
  <si>
    <t>817620337V</t>
  </si>
  <si>
    <t>Aluth Gedara Priyangani Pushpalatha</t>
  </si>
  <si>
    <t>845773840V</t>
  </si>
  <si>
    <t>908443454V</t>
  </si>
  <si>
    <t>Nayakarathna Mudiyanselage Amali Nayakarathna</t>
  </si>
  <si>
    <t>836850980V</t>
  </si>
  <si>
    <t>Adikari Mudiyanselage Saseema sagari Adikari</t>
  </si>
  <si>
    <t>905340913V</t>
  </si>
  <si>
    <t>Rathnayaka Mudiyanselage Sumedha Darshika Wijerathna</t>
  </si>
  <si>
    <t>857702751V</t>
  </si>
  <si>
    <t>Ekanayakage Ayesha Kumari Ekanayaka</t>
  </si>
  <si>
    <t>898034186V</t>
  </si>
  <si>
    <t>Pihillawaththe Gedara Dilshani Buddika Priyadarshani</t>
  </si>
  <si>
    <t>988161225V</t>
  </si>
  <si>
    <t>Tikiri Bandalage Nirodha Wishvanthi</t>
  </si>
  <si>
    <t>935131715V</t>
  </si>
  <si>
    <t>Manikhiti Mudiyanselage Shironi Chandani Kumari</t>
  </si>
  <si>
    <t>Dingiri Dewayalage Dushani Susanthika Wimalasiri</t>
  </si>
  <si>
    <t>978172610V</t>
  </si>
  <si>
    <t>23/NCM/1961</t>
  </si>
  <si>
    <t>23/NCM/1962</t>
  </si>
  <si>
    <t>23/NCM/1963</t>
  </si>
  <si>
    <t>23/NCM/1964</t>
  </si>
  <si>
    <t>23/NCM/1965</t>
  </si>
  <si>
    <t>23/NCM/1966</t>
  </si>
  <si>
    <t>23/NCM/1967</t>
  </si>
  <si>
    <t>23/NCM/1968</t>
  </si>
  <si>
    <t>23/NCM/1969</t>
  </si>
  <si>
    <t>23/NCM/1970</t>
  </si>
  <si>
    <t>23/NCM/1971</t>
  </si>
  <si>
    <t>23/NCM/1972</t>
  </si>
  <si>
    <t>23/NCM/1973</t>
  </si>
  <si>
    <t>23/NCM/1974</t>
  </si>
  <si>
    <t>23/NCM/1975</t>
  </si>
  <si>
    <t>875381911V</t>
  </si>
  <si>
    <t>947830120V</t>
  </si>
  <si>
    <t>Wanni Arachchige Hasitha Anuradhini</t>
  </si>
  <si>
    <t>905952617V</t>
  </si>
  <si>
    <t>Dehiwalage Meriyan Rupika Sudarshani Franando</t>
  </si>
  <si>
    <t>23/NCM/1976</t>
  </si>
  <si>
    <t>23/NCM/1977</t>
  </si>
  <si>
    <t>23/NCM/1978</t>
  </si>
  <si>
    <t>23/NCM/1979</t>
  </si>
  <si>
    <t>23/NCM/1980</t>
  </si>
  <si>
    <t>23/NCM/1981</t>
  </si>
  <si>
    <t>23/NCM/1982</t>
  </si>
  <si>
    <t>23/NCM/1983</t>
  </si>
  <si>
    <t>23/NCM/1984</t>
  </si>
  <si>
    <t>23/NCM/1985</t>
  </si>
  <si>
    <t>23/NCM/1986</t>
  </si>
  <si>
    <t>23/NCM/1987</t>
  </si>
  <si>
    <t>23/NCM/1988</t>
  </si>
  <si>
    <t>23/NCM/1989</t>
  </si>
  <si>
    <t>23/NCM/1990</t>
  </si>
  <si>
    <t>23/NCM/1991</t>
  </si>
  <si>
    <t>23/NCM/1992</t>
  </si>
  <si>
    <t>23/NCM/1993</t>
  </si>
  <si>
    <t>23/NCM/1994</t>
  </si>
  <si>
    <t>23/NCM/1995</t>
  </si>
  <si>
    <t>23/NCM/1996</t>
  </si>
  <si>
    <t>23/NCM/1997</t>
  </si>
  <si>
    <t>Gamameda Liyanage Saman Priyan Perera Senarathna</t>
  </si>
  <si>
    <t xml:space="preserve">Suriyahetti Adhikari Mudiyanselage Priyangika Kamani Suriyahetti </t>
  </si>
  <si>
    <t>Puswala Hewage Suchira Dilhani</t>
  </si>
  <si>
    <t>917132526V</t>
  </si>
  <si>
    <t>905902601V</t>
  </si>
  <si>
    <t>907621510V</t>
  </si>
  <si>
    <t>Weerabahu Mudiyanselage Niranjala Ivon Damayanthi</t>
  </si>
  <si>
    <t>836002806V</t>
  </si>
  <si>
    <t>798180649V</t>
  </si>
  <si>
    <t>837104858V</t>
  </si>
  <si>
    <t>Dissanayaka Mudiyanselage Namidu Udesh Wickrama</t>
  </si>
  <si>
    <t>970552987V</t>
  </si>
  <si>
    <t>Wanninayaka Mudiyanselage Darshika Hemamali Wanninayaka</t>
  </si>
  <si>
    <t>886972555V</t>
  </si>
  <si>
    <t>Gurunnanselage Don Buddhika Niroshini Anuradha</t>
  </si>
  <si>
    <t>Chandrappulige Nilukshika Madhuwanthi</t>
  </si>
  <si>
    <t>867470573V</t>
  </si>
  <si>
    <t>Herath Mudiyanselage Geetha Kumari Herath Abyesingha</t>
  </si>
  <si>
    <t>785201558V</t>
  </si>
  <si>
    <t xml:space="preserve">Wadduwa Pathirage Champika Jayamali Perera </t>
  </si>
  <si>
    <t>23/NCM/1998</t>
  </si>
  <si>
    <t>Withanage Asanka Sampath</t>
  </si>
  <si>
    <t>790800656V</t>
  </si>
  <si>
    <t>788163533V</t>
  </si>
  <si>
    <t>Ranawaka Arachchige Vineetha Ranawaka</t>
  </si>
  <si>
    <t>806912166V</t>
  </si>
  <si>
    <t>Maddugodage Sampath Thilanka Samarasinghe</t>
  </si>
  <si>
    <t>770142547V</t>
  </si>
  <si>
    <t>Shanika Nilmini Weerakkodi</t>
  </si>
  <si>
    <t>Akmeemana Kumarage Shamitha Sanchitha</t>
  </si>
  <si>
    <t>Govinnage Nadeeka Sajana Dananjani Perera</t>
  </si>
  <si>
    <t>Herath Mudiyanselage Asanka Dewamintha</t>
  </si>
  <si>
    <t>782063065V</t>
  </si>
  <si>
    <t>Hettithanthrige benita Priyanthi kumudini</t>
  </si>
  <si>
    <t>697360190V</t>
  </si>
  <si>
    <t>Munasinghe Mudiyanelage Sachini dilka</t>
  </si>
  <si>
    <t>977482526V</t>
  </si>
  <si>
    <t>Ranasinghe Arachchige Dilki Wasana</t>
  </si>
  <si>
    <t>896324136V</t>
  </si>
  <si>
    <t>Hondamuni Chandrika Damayanthi De Silva</t>
  </si>
  <si>
    <t>Meddage Manushi Erangi Perera</t>
  </si>
  <si>
    <t>945540796V</t>
  </si>
  <si>
    <t>Kurukulasuriya Nelum Nishantha Fernando</t>
  </si>
  <si>
    <t>Dehiwalage Anne Manel Fernando</t>
  </si>
  <si>
    <t>876060205V</t>
  </si>
  <si>
    <t>Linthotage Madushani Peshala Perera</t>
  </si>
  <si>
    <t>898000419V</t>
  </si>
  <si>
    <t>23/NCM/1999</t>
  </si>
  <si>
    <t>23/NCM/2000</t>
  </si>
  <si>
    <t>23/NCM/2001</t>
  </si>
  <si>
    <t>23/NCM/2002</t>
  </si>
  <si>
    <t>23/NCM/2003</t>
  </si>
  <si>
    <t>23/NCM/2004</t>
  </si>
  <si>
    <t>23/NCM/2005</t>
  </si>
  <si>
    <t>23/NCM/2006</t>
  </si>
  <si>
    <t>23/NCM/2007</t>
  </si>
  <si>
    <t>23/NCM/2008</t>
  </si>
  <si>
    <t>23/NCM/2009</t>
  </si>
  <si>
    <t>23/NCM/2010</t>
  </si>
  <si>
    <t>23/NCM/2011</t>
  </si>
  <si>
    <t>23/NCM/2012</t>
  </si>
  <si>
    <t>23/NCM/2013</t>
  </si>
  <si>
    <t>23/NCM/2014</t>
  </si>
  <si>
    <t>23/NCM/2015</t>
  </si>
  <si>
    <t>23/NCM/2016</t>
  </si>
  <si>
    <t>23/NCM/2017</t>
  </si>
  <si>
    <t>Kebellawitage Madhushika Lakmali Perera</t>
  </si>
  <si>
    <t>Galmangoda Guruge Anoja Nayomi</t>
  </si>
  <si>
    <t>886670419V</t>
  </si>
  <si>
    <t>Dewundara Liyana Waduge Gayathri Sudarshani</t>
  </si>
  <si>
    <t>835583953V</t>
  </si>
  <si>
    <t>Pathirage Dona Shyamali Pushpalatha Jayawardhana</t>
  </si>
  <si>
    <t>Kirinda Gamage Dilini Lakshika</t>
  </si>
  <si>
    <t>876563584V</t>
  </si>
  <si>
    <t>Dolamulla Kankanamge Pavithra Nilmini</t>
  </si>
  <si>
    <t>855231999V</t>
  </si>
  <si>
    <t>Henagama Manage Lakmali Priyadarshika</t>
  </si>
  <si>
    <t>Jayasekara Mudiyanselage Indika Upali Jayasekara</t>
  </si>
  <si>
    <t>Rajapaksha Dilup Shamika</t>
  </si>
  <si>
    <t>862543262V</t>
  </si>
  <si>
    <t>Hakmanage Umesha Iroshani</t>
  </si>
  <si>
    <t>878120655V</t>
  </si>
  <si>
    <t>777812580V</t>
  </si>
  <si>
    <t>Wadanambi Arachchige Lasanthi Udayangani Wadanambi</t>
  </si>
  <si>
    <t>777740210V</t>
  </si>
  <si>
    <t>818473060V</t>
  </si>
  <si>
    <t>847540486V</t>
  </si>
  <si>
    <t>23/NCM/2018</t>
  </si>
  <si>
    <t>23/NCM/2028</t>
  </si>
  <si>
    <t>23/NCM/2019</t>
  </si>
  <si>
    <t>23/NCM/2020</t>
  </si>
  <si>
    <t>23/NCM/2021</t>
  </si>
  <si>
    <t>23/NCM/2022</t>
  </si>
  <si>
    <t>23/NCM/2023</t>
  </si>
  <si>
    <t>23/NCM/2024</t>
  </si>
  <si>
    <t>23/NCM/2025</t>
  </si>
  <si>
    <t>23/NCM/2026</t>
  </si>
  <si>
    <t>23/NCM/2027</t>
  </si>
  <si>
    <t>23/NCM/2029</t>
  </si>
  <si>
    <t>23/NCM/2030</t>
  </si>
  <si>
    <t>23/NCM/2031</t>
  </si>
  <si>
    <t>23/NCM/2032</t>
  </si>
  <si>
    <t>23/NCM/2033</t>
  </si>
  <si>
    <t>23/NCM/2034</t>
  </si>
  <si>
    <t>23/NCM/2035</t>
  </si>
  <si>
    <t>23/NCM/2036</t>
  </si>
  <si>
    <t>Jayasinghe Mudiyanselage Madumali Udeshika</t>
  </si>
  <si>
    <t>977721865V</t>
  </si>
  <si>
    <t>Dissanayaka Mudiyanselage Priyanga Ranjani Abeywardhana</t>
  </si>
  <si>
    <t>Konara Mudiyanselage Nimesha Sewwandi</t>
  </si>
  <si>
    <t>Adhikari Mudiyanselage Shanika Prabodhani Abeyrathna</t>
  </si>
  <si>
    <t>977152720V</t>
  </si>
  <si>
    <t>Abeysinghe Mudiyanselage Yamuna Hennayaka</t>
  </si>
  <si>
    <t>Dissanayaka Mudiyanselage Amara Swarnalatha</t>
  </si>
  <si>
    <t>Thanippuli Mudiyanselage Gayani Madumalika Nawarathna</t>
  </si>
  <si>
    <t>945460156V</t>
  </si>
  <si>
    <t>Dissanayaka Mudiyanselage Rohana Vijitha Pushpakumara</t>
  </si>
  <si>
    <t>880681079V</t>
  </si>
  <si>
    <t>Udagedra Kuruppu Mudiyanselage Kamal Thilakasiri</t>
  </si>
  <si>
    <t>792900380V</t>
  </si>
  <si>
    <t>Aththanayaka Mudiyanselage Dilminik Aththanayaka</t>
  </si>
  <si>
    <t>771030998V</t>
  </si>
  <si>
    <t>23/NCM/2037</t>
  </si>
  <si>
    <t>23/NCM/2038</t>
  </si>
  <si>
    <t>23/NCM/2039</t>
  </si>
  <si>
    <t>23/NCM/2040</t>
  </si>
  <si>
    <t>23/NCM/2041</t>
  </si>
  <si>
    <t>23/NCM/2042</t>
  </si>
  <si>
    <t>23/NCM/2043</t>
  </si>
  <si>
    <t>23/NCM/2044</t>
  </si>
  <si>
    <t>23/NCM/2045</t>
  </si>
  <si>
    <t>23/NCM/2046</t>
  </si>
  <si>
    <t>23/NCM/2047</t>
  </si>
  <si>
    <t xml:space="preserve">Wasala Mudiyanselage Shiranthi Manjula </t>
  </si>
  <si>
    <t>836691687V</t>
  </si>
  <si>
    <t>Wadana Haluge Nadeesha Madhushani Dayarathne</t>
  </si>
  <si>
    <t>965512679V</t>
  </si>
  <si>
    <t>Panamulla Arachchilage Iresha Nuwanthi</t>
  </si>
  <si>
    <t>23/NCM/2048</t>
  </si>
  <si>
    <t>23/NCM/2049</t>
  </si>
  <si>
    <t>23/NCM/2050</t>
  </si>
  <si>
    <t>23/NCM/2051</t>
  </si>
  <si>
    <t>23/NCM/2052</t>
  </si>
  <si>
    <t>23/NCM/2053</t>
  </si>
  <si>
    <t>23/NCM/2054</t>
  </si>
  <si>
    <t>23/NCM/2055</t>
  </si>
  <si>
    <t>23/NCM/2056</t>
  </si>
  <si>
    <t>23/NCM/2057</t>
  </si>
  <si>
    <t>23/NCM/2058</t>
  </si>
  <si>
    <t>23/NCM/2059</t>
  </si>
  <si>
    <t>23/NCM/2060</t>
  </si>
  <si>
    <t>23/NCM/2061</t>
  </si>
  <si>
    <t>23/NCM/2062</t>
  </si>
  <si>
    <t>23/NCM/2063</t>
  </si>
  <si>
    <t>23/NCM/2064</t>
  </si>
  <si>
    <t>23/NCM/2065</t>
  </si>
  <si>
    <t>23/NCM/2066</t>
  </si>
  <si>
    <t>23/NCM/2067</t>
  </si>
  <si>
    <t xml:space="preserve">Balasooriya Mudiyanselage Nilmini Kumari Balasooriya </t>
  </si>
  <si>
    <t>836420934V</t>
  </si>
  <si>
    <t>Weda Muhandiramlage Nirosha Dilhani</t>
  </si>
  <si>
    <t>808560461V</t>
  </si>
  <si>
    <t>Katagedara Liyanage Sumudu Kumari Ranasinghe</t>
  </si>
  <si>
    <t xml:space="preserve">Kalubowila Appuhamilage Nethmi Shashiprabha Nimnadi Perera </t>
  </si>
  <si>
    <t>985391041V</t>
  </si>
  <si>
    <t>Hitihami Mudiyanselage Pramodya Sathsarani Pemarathna</t>
  </si>
  <si>
    <t>958070713V</t>
  </si>
  <si>
    <t>866960895V</t>
  </si>
  <si>
    <t>Ranpati Dewage Ishani Gayanika</t>
  </si>
  <si>
    <t>966981725V</t>
  </si>
  <si>
    <t>Wijesingha Mapa Hamillage Ruwanthika Shrimali Wijesinghe</t>
  </si>
  <si>
    <t>935301394V</t>
  </si>
  <si>
    <t>Mannapperu Mudiyanselage Dilini Anuradha Mannapperu</t>
  </si>
  <si>
    <t>957990606V</t>
  </si>
  <si>
    <t>Dasin Gedara Gayathri Nawanjana Senevirathna</t>
  </si>
  <si>
    <t>Alagiyawanna Mohottalalage Sayuri Madusanka Alagiyawanna</t>
  </si>
  <si>
    <t>918183426V</t>
  </si>
  <si>
    <t>Korala Gamage Saman Kumara Pathiraja</t>
  </si>
  <si>
    <t>852484705V</t>
  </si>
  <si>
    <t>Muthunayaka Pedige Rohan Aruna Sri Gunawardhana</t>
  </si>
  <si>
    <t>Jayakodi Arachchilage Sameera Wije Bandara</t>
  </si>
  <si>
    <t>843533400V</t>
  </si>
  <si>
    <t>Hitihami Mudiyanselage Niluka Subhashini Karunarathna</t>
  </si>
  <si>
    <t>836450760V</t>
  </si>
  <si>
    <t>Marasinghe Arachchige Maheshi Inoka Rasangani</t>
  </si>
  <si>
    <t>905750208V</t>
  </si>
  <si>
    <t>Gurugalgoda Mudiyanselage suranga Chandimal Weerasinghe</t>
  </si>
  <si>
    <t>23/NCM/2068</t>
  </si>
  <si>
    <t>23/NCM/2069</t>
  </si>
  <si>
    <t>23/NCM/2070</t>
  </si>
  <si>
    <t>23/NCM/2071</t>
  </si>
  <si>
    <t>23/NCM/2072</t>
  </si>
  <si>
    <t>23/NCM/2073</t>
  </si>
  <si>
    <t>23/NCM/2074</t>
  </si>
  <si>
    <t>23/NCM/2075</t>
  </si>
  <si>
    <t>23/NCM/2076</t>
  </si>
  <si>
    <t>23/NCM/2077</t>
  </si>
  <si>
    <t>23/NCM/2078</t>
  </si>
  <si>
    <t>23/NCM/2079</t>
  </si>
  <si>
    <t>23/NCM/2080</t>
  </si>
  <si>
    <t>23/NCM/2081</t>
  </si>
  <si>
    <t>23/NCM/2082</t>
  </si>
  <si>
    <t>23/NCM/2083</t>
  </si>
  <si>
    <t>23/NCM/2084</t>
  </si>
  <si>
    <t>23/NCM/2085</t>
  </si>
  <si>
    <t>23/NCM/2086</t>
  </si>
  <si>
    <t>23/NCM/2087</t>
  </si>
  <si>
    <t>23/NCM/2088</t>
  </si>
  <si>
    <t>23/NCM/2089</t>
  </si>
  <si>
    <t>23/NCM/2090</t>
  </si>
  <si>
    <t>23/NCM/2091</t>
  </si>
  <si>
    <t>23/NCM/2092</t>
  </si>
  <si>
    <t>23/NCM/2093</t>
  </si>
  <si>
    <t>23/NCM/2094</t>
  </si>
  <si>
    <t>23/NCM/2095</t>
  </si>
  <si>
    <t>23/NCM/2096</t>
  </si>
  <si>
    <t>23/NCM/2097</t>
  </si>
  <si>
    <t>23/NCM/2098</t>
  </si>
  <si>
    <t>23/NCM/2099</t>
  </si>
  <si>
    <t>23/NCM/2100</t>
  </si>
  <si>
    <t>23/NCM/2101</t>
  </si>
  <si>
    <t>23/NCM/2102</t>
  </si>
  <si>
    <t>23/NCM/2103</t>
  </si>
  <si>
    <t>23/NCM/2104</t>
  </si>
  <si>
    <t>23/NCM/2105</t>
  </si>
  <si>
    <t>23/NCM/2106</t>
  </si>
  <si>
    <t>23/NCM/2107</t>
  </si>
  <si>
    <t>907641864V</t>
  </si>
  <si>
    <t>975761487V</t>
  </si>
  <si>
    <t>945851643V</t>
  </si>
  <si>
    <t>926952382V</t>
  </si>
  <si>
    <t>Wanni Arachchige Kamani Deshanthi</t>
  </si>
  <si>
    <t>878421213V</t>
  </si>
  <si>
    <t>Karuna Pedige Chandima Rohini Gunathilaka</t>
  </si>
  <si>
    <t>920952046V</t>
  </si>
  <si>
    <t xml:space="preserve">Abyekoon Mudiyanselage Sujeewa Kumari </t>
  </si>
  <si>
    <t>Liyanage Sureka Shyamalee Dilrukshi</t>
  </si>
  <si>
    <t>Arachchi Appuhamilage Padmini Subhadra Wijethilaka</t>
  </si>
  <si>
    <t>795701818V</t>
  </si>
  <si>
    <t>Singappuli Henayalage Dilhani Nikeshala Senarath</t>
  </si>
  <si>
    <t>816213690V</t>
  </si>
  <si>
    <t>Kalinguwa Dewage Chandrapala Gnanajeewa Jayasinghe</t>
  </si>
  <si>
    <t>793562527V</t>
  </si>
  <si>
    <t>Dissanayaka Mudiyanselage Anusha Priyadarshani dissanayaka</t>
  </si>
  <si>
    <t>817160336V</t>
  </si>
  <si>
    <t xml:space="preserve">Piyadasage Surenika Kelum Piyadasa </t>
  </si>
  <si>
    <t>Jayakodi Arachchilage Shiromi Mangala Wickramarathna</t>
  </si>
  <si>
    <t>707002492V</t>
  </si>
  <si>
    <t>786052963V</t>
  </si>
  <si>
    <t>Hapu Durayalage Dilrukshi Pushpa Kumari</t>
  </si>
  <si>
    <t>887934207V</t>
  </si>
  <si>
    <t>937341300V</t>
  </si>
  <si>
    <t>845921334V</t>
  </si>
  <si>
    <t>817522262V</t>
  </si>
  <si>
    <t>Dewatha Pejjalage Nilmini Sandhya Sunilrathna</t>
  </si>
  <si>
    <t xml:space="preserve">Ranasinghe Gedara Heshan Manoj Rupasinghe </t>
  </si>
  <si>
    <t>920182895V</t>
  </si>
  <si>
    <t>Jayakodi Arachchilage Amila Thilakarathna</t>
  </si>
  <si>
    <t>846151010V</t>
  </si>
  <si>
    <t>Manik P Pushpa Kanthi</t>
  </si>
  <si>
    <t>Werawelle Gedara Vimukthika Amali Jayalath</t>
  </si>
  <si>
    <t>905353128V</t>
  </si>
  <si>
    <t>Siyabalapiti Kankanamalage Nadeeka Shyamali</t>
  </si>
  <si>
    <t>816813344V</t>
  </si>
  <si>
    <t xml:space="preserve">Wijekoon Mudiyanselage Geethika Chandani Wijekoon </t>
  </si>
  <si>
    <t>845200262V</t>
  </si>
  <si>
    <t>715100258V</t>
  </si>
  <si>
    <t>Rajapaksha Mudiyanselage Krishanthi Kanchana Kumari Rathnayaka</t>
  </si>
  <si>
    <t>916941684V</t>
  </si>
  <si>
    <t>Dunukara Mudiyanselage Dilani Piyumali Kotuwegedara</t>
  </si>
  <si>
    <t>918531661V</t>
  </si>
  <si>
    <t>907040062V</t>
  </si>
  <si>
    <t>Hitihamillage Niranjala Bandara</t>
  </si>
  <si>
    <t>776723908V</t>
  </si>
  <si>
    <t>Dompe Ralalage Deepika Damayanthi</t>
  </si>
  <si>
    <t>Elabadage Gayani Sanjeewani Jayarathna</t>
  </si>
  <si>
    <t>23/NCM/2108</t>
  </si>
  <si>
    <t>23/NCM/2109</t>
  </si>
  <si>
    <t>23/NCM/2110</t>
  </si>
  <si>
    <t>23/NCM/2111</t>
  </si>
  <si>
    <t>23/NCM/2112</t>
  </si>
  <si>
    <t>23/NCM/2113</t>
  </si>
  <si>
    <t>23/NCM/2114</t>
  </si>
  <si>
    <t>23/NCM/2115</t>
  </si>
  <si>
    <t>23/NCM/2116</t>
  </si>
  <si>
    <t>23/NCM/2117</t>
  </si>
  <si>
    <t>23/NCM/2118</t>
  </si>
  <si>
    <t>23/NCM/2119</t>
  </si>
  <si>
    <t>23/NCM/2120</t>
  </si>
  <si>
    <t>23/NCM/2121</t>
  </si>
  <si>
    <t>23/NCM/2122</t>
  </si>
  <si>
    <t>23/NCM/2123</t>
  </si>
  <si>
    <t>23/NCM/2124</t>
  </si>
  <si>
    <t>Basnagodage Shamini Hanshika Basnagoda</t>
  </si>
  <si>
    <t>Hetti Arachchilage Ruwini</t>
  </si>
  <si>
    <t>Hakmana Gallage Lasanthi Kumudumalee Gallage</t>
  </si>
  <si>
    <t>866872929V</t>
  </si>
  <si>
    <t>Weerarathna Arachchillage Nimali Chathurika Jayasingha</t>
  </si>
  <si>
    <t>Panawal Koralage Niluka Chandani</t>
  </si>
  <si>
    <t>848620777V</t>
  </si>
  <si>
    <t>Thamana Gamage Renuka Chandani Walawita</t>
  </si>
  <si>
    <t>Aluthapaspedi Durage Nadeera Rathnakumari</t>
  </si>
  <si>
    <t>Pathirannehalage Wasana Suranji Pathirana</t>
  </si>
  <si>
    <t>835961591V</t>
  </si>
  <si>
    <t>Ambawaththa Hewage Sasika Samali Ambawaththa</t>
  </si>
  <si>
    <t>858161258V</t>
  </si>
  <si>
    <t>Agas Pathirannehelage Pasindu Avishka Pathirana</t>
  </si>
  <si>
    <t>980941477V</t>
  </si>
  <si>
    <t>Walle Kankanamge Sujani Sagarika</t>
  </si>
  <si>
    <t>935730430V</t>
  </si>
  <si>
    <t>Singhe Purage Vishaka Harshani Thilakarathne</t>
  </si>
  <si>
    <t>957602371V</t>
  </si>
  <si>
    <t>Bandarawaththa Vidanelage Ishara Dharmasena</t>
  </si>
  <si>
    <t>Uduwek Gamarallage Dimuthu Dananjaya Karunarathne</t>
  </si>
  <si>
    <t>963390289V</t>
  </si>
  <si>
    <t>Bolukadura Vidanalage Mukshila Udayangani</t>
  </si>
  <si>
    <t>23/NCM/2125</t>
  </si>
  <si>
    <t>23/NCM/2126</t>
  </si>
  <si>
    <t>Pathiranage Jayamini Umali Pathirana</t>
  </si>
  <si>
    <t>968472070V</t>
  </si>
  <si>
    <t>AB</t>
  </si>
  <si>
    <t>Ekanayaka Mudiyanselage Bandarage Priyadarshani Kumari Ekanayaka</t>
  </si>
  <si>
    <t>Pethiyagoda Ralalage Achala Kumarihami Pethiyagoda</t>
  </si>
  <si>
    <t>Hitihami Koralalage Waruni Nisansala Wanigasundara</t>
  </si>
  <si>
    <t>Siriwardhana Sitanange Navoda Nadeeshani</t>
  </si>
  <si>
    <t>Thambiliya Godage Sithara Dilhari</t>
  </si>
  <si>
    <t>Chandrasekara Dissanayaka Adhikari Mudiyanselage Nisansala Swarnamali Chandrasekara</t>
  </si>
  <si>
    <t>Herath Pathirannahalage Ganga Kawindi</t>
  </si>
  <si>
    <t>Amarathunga Arachchige Sadanika Udayangani</t>
  </si>
  <si>
    <t>Bandanage Ayodhya Jinanjali Chandrathilaka</t>
  </si>
  <si>
    <t>Nilenthige Wathsala Weerasingha</t>
  </si>
  <si>
    <t>Herath Mudiyanselage Nilmini Priyanthika Herath</t>
  </si>
  <si>
    <t>Gnana Prakasham Dinesha Shashi Kumari</t>
  </si>
  <si>
    <t>Sinhala Pedi Durayalage Dulmi Sachin Gunarathna</t>
  </si>
  <si>
    <t>Sanjeewa Chithrangani Senarath Hettiarachchi</t>
  </si>
  <si>
    <t>877670589V</t>
  </si>
  <si>
    <t>Liyanapathirannahalage Wenurani Samara Shrini Kularathna</t>
  </si>
  <si>
    <t xml:space="preserve">Rajapaksha Pathirannahalage Janaki Rajapaksha </t>
  </si>
  <si>
    <t>Rilla Goda Sanduni Tharaka</t>
  </si>
  <si>
    <t xml:space="preserve">Dileeka Tharangani Gunasekara </t>
  </si>
  <si>
    <t xml:space="preserve">Waligama Palliya Guruge Nadeeka Thathsarani </t>
  </si>
  <si>
    <t>Galketiya Gamage Midmi Anuradha</t>
  </si>
  <si>
    <t>Dissanayaka Mudiyanselage Chamara Dimuthu Prabhath Dissanayaka</t>
  </si>
  <si>
    <t xml:space="preserve">Gammaddegoda Liyanage Dayana shrimathi Liyanage </t>
  </si>
  <si>
    <t>Heeni Pallage Deepika Chandrakumari</t>
  </si>
  <si>
    <t>Pabella Appuhamilage Priyanga Sadamalika</t>
  </si>
  <si>
    <t>Thellambure Hewa Ranathunga Sujani Vichithra</t>
  </si>
  <si>
    <t>Hennayaka Mudiyanselage Yamuna Kumari hennayaka</t>
  </si>
  <si>
    <t>Hiripitiyage Piyumi Wathsala Wijerathna</t>
  </si>
  <si>
    <t>Samarappuli  Achchillage Rupika Sanjeewani Abyesingha</t>
  </si>
  <si>
    <t>Imiyangoda Ralalage Achini Shashikala Dayarathna</t>
  </si>
  <si>
    <t>Thibbutumunuwe Arachchillage Madhushani Kumari Thibbutumunuwa</t>
  </si>
  <si>
    <t>Edirisinghe Dewalage Dilini Nuwanthika Rajapaksha</t>
  </si>
  <si>
    <t>Aluthgamage Iroshika Wikcramasinghe</t>
  </si>
  <si>
    <t>857041631V</t>
  </si>
  <si>
    <t>Aith Arachchilage Chandana Prashad Ranasinghe</t>
  </si>
  <si>
    <t>Gardi Hewa Kankanamalage Lakmali Sagarika</t>
  </si>
  <si>
    <t>Dissanayaka Mudiyanselage Wathsala Shyamali Ubenanda</t>
  </si>
  <si>
    <t>Suduhakuru Gedara Priyangika Priyadarshani Piyarathna</t>
  </si>
  <si>
    <t>Ranasinghage Kumudini Devika ranasinghe</t>
  </si>
  <si>
    <t>Wijesooriya Arachchige Ishara Sewwandi Wijesooriya</t>
  </si>
  <si>
    <t>Widana Arachchillage Geethika Tharangani</t>
  </si>
  <si>
    <t>Kumalathara Arachchilage Shyamalee Ruwankumari</t>
  </si>
  <si>
    <t>Jayasinghe Arachchillage Nalika Sanjeewani Ranasinghe</t>
  </si>
  <si>
    <t>Rajapakshage Chandima Sandamali Rajapaksha</t>
  </si>
  <si>
    <t>Madduma Welyayage Kumudini Sriya Welyaya</t>
  </si>
  <si>
    <t>Pathiraja Mudiyanselage Priyanga Samanthi Pathiraja</t>
  </si>
  <si>
    <t>Withana Arachchillage Priyanka Kushalanthi Wijerathna</t>
  </si>
  <si>
    <t>Niladure Wiyannalage Deepika Priyangani</t>
  </si>
  <si>
    <t>Millagas Thannalage Deepika Samanthi Peiris</t>
  </si>
  <si>
    <t>Failure</t>
  </si>
  <si>
    <t>Ordinary Pass</t>
  </si>
  <si>
    <t>Second Class Upper</t>
  </si>
  <si>
    <t>Repeat Subject Code</t>
  </si>
  <si>
    <t>05,10</t>
  </si>
  <si>
    <t>05,06</t>
  </si>
  <si>
    <t>06,07</t>
  </si>
  <si>
    <t>06,10</t>
  </si>
  <si>
    <t>01,05</t>
  </si>
  <si>
    <t>03,07</t>
  </si>
  <si>
    <t>08,10</t>
  </si>
  <si>
    <t>Certificate Course of Co-operative Development Advanced Level  - Academic Year  2023/2024</t>
  </si>
  <si>
    <t>01,10</t>
  </si>
  <si>
    <t>6,10</t>
  </si>
  <si>
    <t xml:space="preserve">Result Sheet </t>
  </si>
  <si>
    <t>Final Grade</t>
  </si>
  <si>
    <r>
      <rPr>
        <b/>
        <sz val="12"/>
        <color indexed="8"/>
        <rFont val="Times New Roman"/>
        <family val="1"/>
      </rPr>
      <t>(75 &gt; =  D  -  Distinction)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(55 -74  =   C  -  Credit)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(35-54  =   S  - Simple Pass)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,  (34&lt;</t>
    </r>
    <r>
      <rPr>
        <b/>
        <sz val="12"/>
        <color indexed="8"/>
        <rFont val="DL-Paras.."/>
      </rPr>
      <t xml:space="preserve"> </t>
    </r>
    <r>
      <rPr>
        <b/>
        <sz val="12"/>
        <color indexed="8"/>
        <rFont val="Times New Roman"/>
        <family val="1"/>
      </rPr>
      <t>F =  Failure) ,  (AB =  Absent)</t>
    </r>
  </si>
  <si>
    <t>First Class</t>
  </si>
  <si>
    <t>Center</t>
  </si>
  <si>
    <t>Anuradhapura</t>
  </si>
  <si>
    <t>Chilaw</t>
  </si>
  <si>
    <t>Colombo</t>
  </si>
  <si>
    <t>Galle</t>
  </si>
  <si>
    <t>Kahagolla</t>
  </si>
  <si>
    <t>Kuliyapitiya</t>
  </si>
  <si>
    <t>Kurunegala</t>
  </si>
  <si>
    <t>Rathnapura</t>
  </si>
  <si>
    <t>Cooperative CDAL01</t>
  </si>
  <si>
    <t>Marketting Management CDAL02</t>
  </si>
  <si>
    <t>Information Technology CDAL03</t>
  </si>
  <si>
    <t>Secraterial Practices CDAL04</t>
  </si>
  <si>
    <t>Public Relations CDAL05</t>
  </si>
  <si>
    <t>Accountancy CDAL06</t>
  </si>
  <si>
    <t>Financial Management CDAL07</t>
  </si>
  <si>
    <t>Law &amp; Practices CDAL08</t>
  </si>
  <si>
    <t>Human resourse Management CDAL09</t>
  </si>
  <si>
    <t>Field Assignment CDAL10</t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</si>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</sst>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DL-Paras.."/>
    </font>
    <font>
      <b/>
      <sz val="10"/>
      <color theme="1"/>
      <name val="Times New Roman"/>
      <family val="1"/>
    </font>
    <font>
      <b/>
      <sz val="10"/>
      <color theme="1"/>
      <name val="DL-Paras..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DL-Paras.."/>
    </font>
    <font>
      <b/>
      <sz val="12"/>
      <color indexed="8"/>
      <name val="DL-Paras..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1" fontId="3" fillId="0" borderId="3" xfId="0" applyNumberFormat="1" applyFont="1" applyBorder="1" applyAlignment="1">
      <alignment horizontal="left" vertical="center" wrapText="1"/>
    </xf>
    <xf numFmtId="0" fontId="11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horizontal="left" vertical="center"/>
    </xf>
    <xf numFmtId="1" fontId="0" fillId="0" borderId="1" xfId="0" quotePrefix="1" applyNumberForma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1008653</xdr:colOff>
      <xdr:row>0</xdr:row>
      <xdr:rowOff>165554</xdr:rowOff>
    </xdr:from>
    <xdr:to>
      <xdr:col>2</xdr:col>
      <xdr:colOff>2003331</xdr:colOff>
      <xdr:row>4</xdr:row>
      <xdr:rowOff>194129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302" y="165554"/>
          <a:ext cx="994678" cy="908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3"/>
  <sheetViews>
    <sheetView tabSelected="1" topLeftCell="A92" zoomScale="92" zoomScaleNormal="154" zoomScaleSheetLayoutView="100" workbookViewId="0">
      <selection activeCell="C174" sqref="C174:C185"/>
    </sheetView>
  </sheetViews>
  <sheetFormatPr defaultColWidth="9.140625" defaultRowHeight="15.75"/>
  <cols>
    <col min="1" max="1" width="0.140625" style="2" customWidth="1"/>
    <col min="2" max="2" width="4.85546875" style="2" customWidth="1"/>
    <col min="3" max="3" width="42.140625" style="20" customWidth="1"/>
    <col min="4" max="4" width="16.28515625" style="2" customWidth="1"/>
    <col min="5" max="6" width="14.28515625" style="2" customWidth="1"/>
    <col min="7" max="24" width="4.42578125" style="3" customWidth="1"/>
    <col min="25" max="25" width="4.42578125" style="8" customWidth="1"/>
    <col min="26" max="26" width="5.5703125" style="8" customWidth="1"/>
    <col min="27" max="27" width="7.7109375" style="8" customWidth="1"/>
    <col min="28" max="28" width="9.28515625" style="8" customWidth="1"/>
    <col min="29" max="29" width="12.7109375" style="8" customWidth="1"/>
    <col min="30" max="30" width="10.7109375" style="8" customWidth="1"/>
    <col min="31" max="31" width="3.5703125" style="8" hidden="1" customWidth="1"/>
    <col min="32" max="32" width="3.7109375" style="8" hidden="1" customWidth="1"/>
    <col min="33" max="33" width="3.5703125" style="8" hidden="1" customWidth="1"/>
    <col min="34" max="34" width="3.85546875" style="8" hidden="1" customWidth="1"/>
    <col min="35" max="35" width="7.85546875" style="8" hidden="1" customWidth="1"/>
    <col min="36" max="36" width="16.5703125" style="2" hidden="1" customWidth="1"/>
    <col min="37" max="37" width="10.5703125" style="1" hidden="1" customWidth="1"/>
    <col min="38" max="38" width="0.7109375" style="2" customWidth="1"/>
    <col min="39" max="16384" width="9.140625" style="2"/>
  </cols>
  <sheetData>
    <row r="1" spans="1:37" ht="15">
      <c r="E1" s="3"/>
      <c r="F1" s="3"/>
      <c r="Y1" s="3"/>
      <c r="Z1" s="3"/>
      <c r="AA1" s="16"/>
      <c r="AB1" s="3"/>
      <c r="AC1" s="3"/>
      <c r="AD1" s="3"/>
      <c r="AE1" s="3"/>
      <c r="AF1" s="3"/>
      <c r="AG1" s="3"/>
      <c r="AH1" s="3"/>
      <c r="AI1" s="2"/>
      <c r="AJ1" s="1"/>
    </row>
    <row r="2" spans="1:37" ht="18" customHeight="1">
      <c r="A2" s="51" t="s">
        <v>14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3"/>
      <c r="AG2" s="3"/>
      <c r="AH2" s="3"/>
      <c r="AI2" s="2"/>
      <c r="AJ2" s="1"/>
    </row>
    <row r="3" spans="1:37" ht="15.6" customHeight="1">
      <c r="A3" s="52" t="s">
        <v>464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I3" s="2"/>
      <c r="AJ3" s="1"/>
    </row>
    <row r="4" spans="1:37" ht="21.75" customHeight="1">
      <c r="A4" s="52" t="s">
        <v>467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3"/>
      <c r="AG4" s="3"/>
      <c r="AH4" s="3"/>
      <c r="AI4" s="2"/>
      <c r="AJ4" s="1"/>
    </row>
    <row r="5" spans="1:37" s="6" customFormat="1" ht="30" customHeight="1">
      <c r="A5" s="53" t="s">
        <v>469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9"/>
      <c r="AG5" s="9"/>
      <c r="AH5" s="9"/>
      <c r="AJ5" s="10"/>
      <c r="AK5" s="10"/>
    </row>
    <row r="6" spans="1:37" s="6" customFormat="1" ht="69" customHeight="1">
      <c r="A6" s="2"/>
      <c r="B6" s="64" t="s">
        <v>13</v>
      </c>
      <c r="C6" s="65" t="s">
        <v>10</v>
      </c>
      <c r="D6" s="65" t="s">
        <v>11</v>
      </c>
      <c r="E6" s="48" t="s">
        <v>12</v>
      </c>
      <c r="F6" s="66" t="s">
        <v>471</v>
      </c>
      <c r="G6" s="56" t="s">
        <v>480</v>
      </c>
      <c r="H6" s="57"/>
      <c r="I6" s="56" t="s">
        <v>481</v>
      </c>
      <c r="J6" s="57"/>
      <c r="K6" s="56" t="s">
        <v>482</v>
      </c>
      <c r="L6" s="57"/>
      <c r="M6" s="56" t="s">
        <v>483</v>
      </c>
      <c r="N6" s="57"/>
      <c r="O6" s="56" t="s">
        <v>484</v>
      </c>
      <c r="P6" s="57"/>
      <c r="Q6" s="56" t="s">
        <v>485</v>
      </c>
      <c r="R6" s="57"/>
      <c r="S6" s="56" t="s">
        <v>486</v>
      </c>
      <c r="T6" s="57"/>
      <c r="U6" s="56" t="s">
        <v>487</v>
      </c>
      <c r="V6" s="57"/>
      <c r="W6" s="56" t="s">
        <v>488</v>
      </c>
      <c r="X6" s="57"/>
      <c r="Y6" s="58" t="s">
        <v>489</v>
      </c>
      <c r="Z6" s="59"/>
      <c r="AA6" s="60" t="s">
        <v>4</v>
      </c>
      <c r="AB6" s="62" t="s">
        <v>5</v>
      </c>
      <c r="AC6" s="49" t="s">
        <v>468</v>
      </c>
      <c r="AD6" s="48" t="s">
        <v>456</v>
      </c>
      <c r="AE6" s="46" t="s">
        <v>9</v>
      </c>
      <c r="AF6" s="46"/>
      <c r="AG6" s="46"/>
      <c r="AH6" s="46"/>
      <c r="AI6" s="47"/>
      <c r="AJ6" s="10"/>
      <c r="AK6" s="10"/>
    </row>
    <row r="7" spans="1:37" s="11" customFormat="1" ht="20.25" customHeight="1" thickBot="1">
      <c r="B7" s="64"/>
      <c r="C7" s="65"/>
      <c r="D7" s="65"/>
      <c r="E7" s="48"/>
      <c r="F7" s="67"/>
      <c r="G7" s="43" t="s">
        <v>490</v>
      </c>
      <c r="H7" s="44" t="s">
        <v>491</v>
      </c>
      <c r="I7" s="43" t="s">
        <v>490</v>
      </c>
      <c r="J7" s="44" t="s">
        <v>491</v>
      </c>
      <c r="K7" s="43" t="s">
        <v>490</v>
      </c>
      <c r="L7" s="44" t="s">
        <v>491</v>
      </c>
      <c r="M7" s="43" t="s">
        <v>490</v>
      </c>
      <c r="N7" s="44" t="s">
        <v>491</v>
      </c>
      <c r="O7" s="43" t="s">
        <v>490</v>
      </c>
      <c r="P7" s="44" t="s">
        <v>491</v>
      </c>
      <c r="Q7" s="43" t="s">
        <v>490</v>
      </c>
      <c r="R7" s="44" t="s">
        <v>491</v>
      </c>
      <c r="S7" s="43" t="s">
        <v>490</v>
      </c>
      <c r="T7" s="44" t="s">
        <v>491</v>
      </c>
      <c r="U7" s="43" t="s">
        <v>490</v>
      </c>
      <c r="V7" s="44" t="s">
        <v>491</v>
      </c>
      <c r="W7" s="43" t="s">
        <v>490</v>
      </c>
      <c r="X7" s="44" t="s">
        <v>491</v>
      </c>
      <c r="Y7" s="45" t="s">
        <v>490</v>
      </c>
      <c r="Z7" s="45" t="s">
        <v>491</v>
      </c>
      <c r="AA7" s="61"/>
      <c r="AB7" s="63"/>
      <c r="AC7" s="50"/>
      <c r="AD7" s="48"/>
      <c r="AE7" s="21" t="s">
        <v>0</v>
      </c>
      <c r="AF7" s="13" t="s">
        <v>1</v>
      </c>
      <c r="AG7" s="13" t="s">
        <v>2</v>
      </c>
      <c r="AH7" s="13" t="s">
        <v>3</v>
      </c>
      <c r="AI7" s="13" t="s">
        <v>7</v>
      </c>
      <c r="AK7" s="22" t="s">
        <v>8</v>
      </c>
    </row>
    <row r="8" spans="1:37" ht="27" customHeight="1">
      <c r="B8" s="23">
        <v>1</v>
      </c>
      <c r="C8" s="24" t="s">
        <v>16</v>
      </c>
      <c r="D8" s="25" t="s">
        <v>17</v>
      </c>
      <c r="E8" s="26" t="s">
        <v>41</v>
      </c>
      <c r="F8" s="25" t="s">
        <v>472</v>
      </c>
      <c r="G8" s="7" t="s">
        <v>6</v>
      </c>
      <c r="H8" s="7" t="str">
        <f>IF(G8="-", "AB", IF(G8&gt;=75, "D", IF(G8&gt;=55, "C", IF(G8&gt;=35, "S", IF(G8&gt;=0, "F")))))</f>
        <v>AB</v>
      </c>
      <c r="I8" s="7" t="s">
        <v>6</v>
      </c>
      <c r="J8" s="7" t="str">
        <f>IF(I8="-", "AB", IF(I8&gt;=75, "D", IF(I8&gt;=55, "C", IF(I8&gt;=35, "S", IF(I8&gt;=0, "F")))))</f>
        <v>AB</v>
      </c>
      <c r="K8" s="7" t="s">
        <v>6</v>
      </c>
      <c r="L8" s="7" t="str">
        <f>IF(K8="-", "AB", IF(K8&gt;=75, "D", IF(K8&gt;=55, "C", IF(K8&gt;=35, "S", IF(K8&gt;=0, "F")))))</f>
        <v>AB</v>
      </c>
      <c r="M8" s="7" t="s">
        <v>6</v>
      </c>
      <c r="N8" s="7" t="str">
        <f>IF(M8="-", "AB", IF(M8&gt;=75, "D", IF(M8&gt;=55, "C", IF(M8&gt;=35, "S", IF(M8&gt;=0, "F")))))</f>
        <v>AB</v>
      </c>
      <c r="O8" s="7" t="s">
        <v>6</v>
      </c>
      <c r="P8" s="7" t="str">
        <f>IF(O8="-", "AB", IF(O8&gt;=75, "D", IF(O8&gt;=55, "C", IF(O8&gt;=35, "S", IF(O8&gt;=0, "F")))))</f>
        <v>AB</v>
      </c>
      <c r="Q8" s="7" t="s">
        <v>6</v>
      </c>
      <c r="R8" s="7" t="str">
        <f>IF(Q8="-", "AB", IF(Q8&gt;=75, "D", IF(Q8&gt;=55, "C", IF(Q8&gt;=35, "S", IF(Q8&gt;=0, "F")))))</f>
        <v>AB</v>
      </c>
      <c r="S8" s="7" t="s">
        <v>6</v>
      </c>
      <c r="T8" s="7" t="str">
        <f>IF(S8="-", "AB", IF(S8&gt;=75, "D", IF(S8&gt;=55, "C", IF(S8&gt;=35, "S", IF(S8&gt;=0, "F")))))</f>
        <v>AB</v>
      </c>
      <c r="U8" s="7" t="s">
        <v>6</v>
      </c>
      <c r="V8" s="7" t="str">
        <f>IF(U8="-", "AB", IF(U8&gt;=75, "D", IF(U8&gt;=55, "C", IF(U8&gt;=35, "S", IF(U8&gt;=0, "F")))))</f>
        <v>AB</v>
      </c>
      <c r="W8" s="7" t="s">
        <v>6</v>
      </c>
      <c r="X8" s="7" t="str">
        <f>IF(W8="-", "AB", IF(W8&gt;=75, "D", IF(W8&gt;=55, "C", IF(W8&gt;=35, "S", IF(W8&gt;=0, "F")))))</f>
        <v>AB</v>
      </c>
      <c r="Y8" s="7" t="s">
        <v>6</v>
      </c>
      <c r="Z8" s="7" t="str">
        <f>IF(Y8="-", "AB", IF(Y8&gt;=75, "D", IF(Y8&gt;=55, "C", IF(Y8&gt;=35, "S", IF(Y8&gt;=0, "F")))))</f>
        <v>AB</v>
      </c>
      <c r="AA8" s="7">
        <f t="shared" ref="AA8:AA24" si="0">SUMIF(G8:Z8, "&lt;&gt;AB")</f>
        <v>0</v>
      </c>
      <c r="AB8" s="14" t="s">
        <v>403</v>
      </c>
      <c r="AC8" s="14" t="s">
        <v>403</v>
      </c>
      <c r="AD8" s="7"/>
      <c r="AE8" s="7">
        <f t="shared" ref="AE8:AE15" si="1">COUNTIF(I8:AD8, "S")</f>
        <v>0</v>
      </c>
      <c r="AF8" s="7">
        <f t="shared" ref="AF8:AF15" si="2">COUNTIF(J8:AE8, "F")</f>
        <v>0</v>
      </c>
      <c r="AG8" s="7">
        <f t="shared" ref="AG8:AG15" si="3">COUNTIF(G8:AF8, "-")</f>
        <v>10</v>
      </c>
      <c r="AH8" s="12"/>
      <c r="AI8" s="14" t="s">
        <v>403</v>
      </c>
      <c r="AJ8" s="7"/>
      <c r="AK8" s="27" t="str">
        <f t="shared" ref="AK8:AK15" si="4">IF(AI8&gt;0, "Not Completed",
   IF(AE8=10, "First Class",
      IF(AB8&gt;75, IF(AG8&gt;0, "Ordinary Pass", "First Class"),
         IF(AB8&gt;65, IF(AG8&gt;0, "Ordinary Pass", "Second Class"),
            IF(AB8&lt;65, "Ordinary Pass", "")
         )
      )
   )
)</f>
        <v>Not Completed</v>
      </c>
    </row>
    <row r="9" spans="1:37" ht="27" customHeight="1">
      <c r="B9" s="28">
        <v>2</v>
      </c>
      <c r="C9" s="29" t="s">
        <v>18</v>
      </c>
      <c r="D9" s="30" t="s">
        <v>19</v>
      </c>
      <c r="E9" s="4" t="s">
        <v>42</v>
      </c>
      <c r="F9" s="25" t="s">
        <v>472</v>
      </c>
      <c r="G9" s="7">
        <v>49</v>
      </c>
      <c r="H9" s="7" t="str">
        <f t="shared" ref="H9:H22" si="5">IF(G9="-", "Absent", IF(G9&gt;=75, "D", IF(G9&gt;=55, "C", IF(G9&gt;=35, "S", IF(G9&gt;=0, "F")))))</f>
        <v>S</v>
      </c>
      <c r="I9" s="7">
        <v>73</v>
      </c>
      <c r="J9" s="7" t="str">
        <f t="shared" ref="J9:J22" si="6">IF(I9="-", "Absent", IF(I9&gt;=75, "D", IF(I9&gt;=55, "C", IF(I9&gt;=35, "S", IF(I9&gt;=0, "F")))))</f>
        <v>C</v>
      </c>
      <c r="K9" s="7">
        <v>87</v>
      </c>
      <c r="L9" s="7" t="str">
        <f t="shared" ref="L9:L22" si="7">IF(K9="-", "Absent", IF(K9&gt;=75, "D", IF(K9&gt;=55, "C", IF(K9&gt;=35, "S", IF(K9&gt;=0, "F")))))</f>
        <v>D</v>
      </c>
      <c r="M9" s="7">
        <v>70</v>
      </c>
      <c r="N9" s="7" t="str">
        <f t="shared" ref="N9:N22" si="8">IF(M9="-", "Absent", IF(M9&gt;=75, "D", IF(M9&gt;=55, "C", IF(M9&gt;=35, "S", IF(M9&gt;=0, "F")))))</f>
        <v>C</v>
      </c>
      <c r="O9" s="7">
        <v>45</v>
      </c>
      <c r="P9" s="7" t="str">
        <f t="shared" ref="P9:P22" si="9">IF(O9="-", "Absent", IF(O9&gt;=75, "D", IF(O9&gt;=55, "C", IF(O9&gt;=35, "S", IF(O9&gt;=0, "F")))))</f>
        <v>S</v>
      </c>
      <c r="Q9" s="7">
        <v>80</v>
      </c>
      <c r="R9" s="7" t="str">
        <f t="shared" ref="R9:R18" si="10">IF(Q9="-", "Absent", IF(Q9&gt;=75, "D", IF(Q9&gt;=55, "C", IF(Q9&gt;=35, "S", IF(Q9&gt;=0, "F")))))</f>
        <v>D</v>
      </c>
      <c r="S9" s="7">
        <v>42</v>
      </c>
      <c r="T9" s="7" t="str">
        <f t="shared" ref="T9:T18" si="11">IF(S9="-", "Absent", IF(S9&gt;=75, "D", IF(S9&gt;=55, "C", IF(S9&gt;=35, "S", IF(S9&gt;=0, "F")))))</f>
        <v>S</v>
      </c>
      <c r="U9" s="7">
        <v>61</v>
      </c>
      <c r="V9" s="7" t="str">
        <f t="shared" ref="V9:V18" si="12">IF(U9="-", "Absent", IF(U9&gt;=75, "D", IF(U9&gt;=55, "C", IF(U9&gt;=35, "S", IF(U9&gt;=0, "F")))))</f>
        <v>C</v>
      </c>
      <c r="W9" s="7">
        <v>47</v>
      </c>
      <c r="X9" s="7" t="str">
        <f t="shared" ref="X9:X18" si="13">IF(W9="-", "Absent", IF(W9&gt;=75, "D", IF(W9&gt;=55, "C", IF(W9&gt;=35, "S", IF(W9&gt;=0, "F")))))</f>
        <v>S</v>
      </c>
      <c r="Y9" s="7">
        <v>19</v>
      </c>
      <c r="Z9" s="7" t="str">
        <f t="shared" ref="Z9:Z22" si="14">IF(Y9="-", "AB", IF(Y9&gt;=75, "D", IF(Y9&gt;=55, "C", IF(Y9&gt;=35, "S", IF(Y9&gt;=0, "F")))))</f>
        <v>F</v>
      </c>
      <c r="AA9" s="7">
        <f t="shared" si="0"/>
        <v>573</v>
      </c>
      <c r="AB9" s="7" t="str">
        <f>ROUND(AA9/10, 0)&amp;"%"</f>
        <v>57%</v>
      </c>
      <c r="AC9" s="14" t="s">
        <v>15</v>
      </c>
      <c r="AD9" s="7">
        <v>10</v>
      </c>
      <c r="AE9" s="7">
        <f t="shared" si="1"/>
        <v>3</v>
      </c>
      <c r="AF9" s="7">
        <f t="shared" si="2"/>
        <v>1</v>
      </c>
      <c r="AG9" s="7">
        <f t="shared" si="3"/>
        <v>0</v>
      </c>
      <c r="AH9" s="12"/>
      <c r="AI9" s="14" t="s">
        <v>15</v>
      </c>
      <c r="AJ9" s="7">
        <v>10</v>
      </c>
      <c r="AK9" s="27" t="str">
        <f t="shared" si="4"/>
        <v>Not Completed</v>
      </c>
    </row>
    <row r="10" spans="1:37" ht="27" customHeight="1">
      <c r="B10" s="28">
        <v>3</v>
      </c>
      <c r="C10" s="29" t="s">
        <v>20</v>
      </c>
      <c r="D10" s="31">
        <v>199010001308</v>
      </c>
      <c r="E10" s="4" t="s">
        <v>43</v>
      </c>
      <c r="F10" s="25" t="s">
        <v>472</v>
      </c>
      <c r="G10" s="7">
        <v>39</v>
      </c>
      <c r="H10" s="7" t="str">
        <f t="shared" si="5"/>
        <v>S</v>
      </c>
      <c r="I10" s="7">
        <v>78</v>
      </c>
      <c r="J10" s="7" t="str">
        <f t="shared" si="6"/>
        <v>D</v>
      </c>
      <c r="K10" s="7">
        <v>86</v>
      </c>
      <c r="L10" s="7" t="str">
        <f t="shared" si="7"/>
        <v>D</v>
      </c>
      <c r="M10" s="7">
        <v>57</v>
      </c>
      <c r="N10" s="7" t="str">
        <f t="shared" si="8"/>
        <v>C</v>
      </c>
      <c r="O10" s="7">
        <v>48</v>
      </c>
      <c r="P10" s="7" t="str">
        <f t="shared" si="9"/>
        <v>S</v>
      </c>
      <c r="Q10" s="7">
        <v>86</v>
      </c>
      <c r="R10" s="7" t="str">
        <f t="shared" si="10"/>
        <v>D</v>
      </c>
      <c r="S10" s="7">
        <v>66</v>
      </c>
      <c r="T10" s="7" t="str">
        <f t="shared" si="11"/>
        <v>C</v>
      </c>
      <c r="U10" s="7">
        <v>60</v>
      </c>
      <c r="V10" s="7" t="str">
        <f t="shared" si="12"/>
        <v>C</v>
      </c>
      <c r="W10" s="7">
        <v>87</v>
      </c>
      <c r="X10" s="7" t="str">
        <f t="shared" si="13"/>
        <v>D</v>
      </c>
      <c r="Y10" s="7">
        <v>53</v>
      </c>
      <c r="Z10" s="7" t="str">
        <f t="shared" si="14"/>
        <v>S</v>
      </c>
      <c r="AA10" s="7">
        <f t="shared" si="0"/>
        <v>660</v>
      </c>
      <c r="AB10" s="7" t="str">
        <f t="shared" ref="AB10:AB24" si="15">ROUND(AA10/10, 0)&amp;"%"</f>
        <v>66%</v>
      </c>
      <c r="AC10" s="14" t="s">
        <v>454</v>
      </c>
      <c r="AD10" s="7"/>
      <c r="AE10" s="7">
        <f t="shared" si="1"/>
        <v>2</v>
      </c>
      <c r="AF10" s="7">
        <f t="shared" si="2"/>
        <v>0</v>
      </c>
      <c r="AG10" s="7">
        <f t="shared" si="3"/>
        <v>0</v>
      </c>
      <c r="AH10" s="12"/>
      <c r="AI10" s="14" t="str">
        <f>IF(AG10&gt;0, "Not Completed",
   IF(AC10=10, "First Class",
      IF(AB10&gt;75, IF(AE10&gt;0, "Ordinary Pass", "First Class"),
         IF(AB10&gt;65, IF(AE10&gt;0, "Ordinary Pass", "Second Class"),
            IF(AB10&lt;65, "Ordinary Pass", "")
         )
      )
   )
)</f>
        <v>Ordinary Pass</v>
      </c>
      <c r="AJ10" s="7"/>
      <c r="AK10" s="27" t="str">
        <f t="shared" si="4"/>
        <v>Not Completed</v>
      </c>
    </row>
    <row r="11" spans="1:37" ht="27" customHeight="1">
      <c r="B11" s="28">
        <v>4</v>
      </c>
      <c r="C11" s="29" t="s">
        <v>21</v>
      </c>
      <c r="D11" s="30" t="s">
        <v>22</v>
      </c>
      <c r="E11" s="4" t="s">
        <v>44</v>
      </c>
      <c r="F11" s="25" t="s">
        <v>472</v>
      </c>
      <c r="G11" s="7" t="s">
        <v>6</v>
      </c>
      <c r="H11" s="7" t="str">
        <f>IF(G11="-", "AB", IF(G11&gt;=75, "D", IF(G11&gt;=55, "C", IF(G11&gt;=35, "S", IF(G11&gt;=0, "F")))))</f>
        <v>AB</v>
      </c>
      <c r="I11" s="7" t="s">
        <v>6</v>
      </c>
      <c r="J11" s="7" t="str">
        <f t="shared" ref="J11" si="16">IF(I11="-", "AB", IF(I11&gt;=75, "D", IF(I11&gt;=55, "C", IF(I11&gt;=35, "S", IF(I11&gt;=0, "F")))))</f>
        <v>AB</v>
      </c>
      <c r="K11" s="7" t="s">
        <v>6</v>
      </c>
      <c r="L11" s="7" t="str">
        <f>IF(K11="-", "AB", IF(K11&gt;=75, "D", IF(K11&gt;=55, "C", IF(K11&gt;=35, "S", IF(K11&gt;=0, "F")))))</f>
        <v>AB</v>
      </c>
      <c r="M11" s="7" t="s">
        <v>6</v>
      </c>
      <c r="N11" s="7" t="str">
        <f>IF(M11="-", "AB", IF(M11&gt;=75, "D", IF(M11&gt;=55, "C", IF(M11&gt;=35, "S", IF(M11&gt;=0, "F")))))</f>
        <v>AB</v>
      </c>
      <c r="O11" s="7" t="s">
        <v>6</v>
      </c>
      <c r="P11" s="7" t="str">
        <f>IF(O11="-", "AB", IF(O11&gt;=75, "D", IF(O11&gt;=55, "C", IF(O11&gt;=35, "S", IF(O11&gt;=0, "F")))))</f>
        <v>AB</v>
      </c>
      <c r="Q11" s="7" t="s">
        <v>6</v>
      </c>
      <c r="R11" s="7" t="str">
        <f>IF(Q11="-", "AB", IF(Q11&gt;=75, "D", IF(Q11&gt;=55, "C", IF(Q11&gt;=35, "S", IF(Q11&gt;=0, "F")))))</f>
        <v>AB</v>
      </c>
      <c r="S11" s="7" t="s">
        <v>6</v>
      </c>
      <c r="T11" s="7" t="str">
        <f>IF(S11="-", "AB", IF(S11&gt;=75, "D", IF(S11&gt;=55, "C", IF(S11&gt;=35, "S", IF(S11&gt;=0, "F")))))</f>
        <v>AB</v>
      </c>
      <c r="U11" s="7" t="s">
        <v>6</v>
      </c>
      <c r="V11" s="7" t="str">
        <f>IF(U11="-", "AB", IF(U11&gt;=75, "D", IF(U11&gt;=55, "C", IF(U11&gt;=35, "S", IF(U11&gt;=0, "F")))))</f>
        <v>AB</v>
      </c>
      <c r="W11" s="7" t="s">
        <v>6</v>
      </c>
      <c r="X11" s="7" t="str">
        <f>IF(W11="-", "AB", IF(W11&gt;=75, "D", IF(W11&gt;=55, "C", IF(W11&gt;=35, "S", IF(W11&gt;=0, "F")))))</f>
        <v>AB</v>
      </c>
      <c r="Y11" s="7" t="s">
        <v>6</v>
      </c>
      <c r="Z11" s="7" t="str">
        <f t="shared" si="14"/>
        <v>AB</v>
      </c>
      <c r="AA11" s="7">
        <f t="shared" si="0"/>
        <v>0</v>
      </c>
      <c r="AB11" s="7" t="str">
        <f t="shared" si="15"/>
        <v>0%</v>
      </c>
      <c r="AC11" s="14" t="s">
        <v>403</v>
      </c>
      <c r="AD11" s="7"/>
      <c r="AE11" s="7">
        <f t="shared" si="1"/>
        <v>0</v>
      </c>
      <c r="AF11" s="7">
        <f t="shared" si="2"/>
        <v>0</v>
      </c>
      <c r="AG11" s="7">
        <f t="shared" si="3"/>
        <v>10</v>
      </c>
      <c r="AH11" s="12"/>
      <c r="AI11" s="14" t="s">
        <v>403</v>
      </c>
      <c r="AJ11" s="7"/>
      <c r="AK11" s="27" t="str">
        <f t="shared" si="4"/>
        <v>Not Completed</v>
      </c>
    </row>
    <row r="12" spans="1:37" ht="27" customHeight="1">
      <c r="B12" s="28">
        <v>5</v>
      </c>
      <c r="C12" s="29" t="s">
        <v>23</v>
      </c>
      <c r="D12" s="30" t="s">
        <v>24</v>
      </c>
      <c r="E12" s="4" t="s">
        <v>45</v>
      </c>
      <c r="F12" s="25" t="s">
        <v>472</v>
      </c>
      <c r="G12" s="7">
        <v>70</v>
      </c>
      <c r="H12" s="7" t="str">
        <f t="shared" si="5"/>
        <v>C</v>
      </c>
      <c r="I12" s="7">
        <v>91</v>
      </c>
      <c r="J12" s="7" t="str">
        <f t="shared" si="6"/>
        <v>D</v>
      </c>
      <c r="K12" s="7">
        <v>96</v>
      </c>
      <c r="L12" s="7" t="str">
        <f t="shared" si="7"/>
        <v>D</v>
      </c>
      <c r="M12" s="7">
        <v>87</v>
      </c>
      <c r="N12" s="7" t="str">
        <f t="shared" si="8"/>
        <v>D</v>
      </c>
      <c r="O12" s="7">
        <v>79</v>
      </c>
      <c r="P12" s="7" t="str">
        <f t="shared" si="9"/>
        <v>D</v>
      </c>
      <c r="Q12" s="7">
        <v>81</v>
      </c>
      <c r="R12" s="7" t="str">
        <f t="shared" si="10"/>
        <v>D</v>
      </c>
      <c r="S12" s="7">
        <v>87</v>
      </c>
      <c r="T12" s="7" t="str">
        <f t="shared" si="11"/>
        <v>D</v>
      </c>
      <c r="U12" s="7">
        <v>85</v>
      </c>
      <c r="V12" s="7" t="str">
        <f t="shared" si="12"/>
        <v>D</v>
      </c>
      <c r="W12" s="7">
        <v>84</v>
      </c>
      <c r="X12" s="7" t="str">
        <f t="shared" si="13"/>
        <v>D</v>
      </c>
      <c r="Y12" s="7">
        <v>38</v>
      </c>
      <c r="Z12" s="7" t="str">
        <f t="shared" si="14"/>
        <v>S</v>
      </c>
      <c r="AA12" s="7">
        <f t="shared" si="0"/>
        <v>798</v>
      </c>
      <c r="AB12" s="7" t="str">
        <f t="shared" si="15"/>
        <v>80%</v>
      </c>
      <c r="AC12" s="14" t="s">
        <v>454</v>
      </c>
      <c r="AD12" s="7"/>
      <c r="AE12" s="7">
        <f t="shared" si="1"/>
        <v>1</v>
      </c>
      <c r="AF12" s="7">
        <f t="shared" si="2"/>
        <v>0</v>
      </c>
      <c r="AG12" s="7">
        <f t="shared" si="3"/>
        <v>0</v>
      </c>
      <c r="AH12" s="12"/>
      <c r="AI12" s="14" t="str">
        <f>IF(AG12&gt;0, "Not Completed",
   IF(AC12=10, "First Class",
      IF(AB12&gt;75, IF(AE12&gt;0, "Ordinary Pass", "First Class"),
         IF(AB12&gt;65, IF(AE12&gt;0, "Ordinary Pass", "Second Class"),
            IF(AB12&lt;65, "Ordinary Pass", "")
         )
      )
   )
)</f>
        <v>Ordinary Pass</v>
      </c>
      <c r="AJ12" s="7"/>
      <c r="AK12" s="27" t="str">
        <f t="shared" si="4"/>
        <v>Not Completed</v>
      </c>
    </row>
    <row r="13" spans="1:37" ht="27" customHeight="1">
      <c r="B13" s="28">
        <v>6</v>
      </c>
      <c r="C13" s="29" t="s">
        <v>404</v>
      </c>
      <c r="D13" s="30">
        <v>197954804191</v>
      </c>
      <c r="E13" s="4" t="s">
        <v>46</v>
      </c>
      <c r="F13" s="25" t="s">
        <v>472</v>
      </c>
      <c r="G13" s="7">
        <v>30</v>
      </c>
      <c r="H13" s="7" t="str">
        <f t="shared" si="5"/>
        <v>F</v>
      </c>
      <c r="I13" s="7">
        <v>35</v>
      </c>
      <c r="J13" s="7" t="str">
        <f t="shared" si="6"/>
        <v>S</v>
      </c>
      <c r="K13" s="7">
        <v>46</v>
      </c>
      <c r="L13" s="7" t="str">
        <f t="shared" si="7"/>
        <v>S</v>
      </c>
      <c r="M13" s="7">
        <v>38</v>
      </c>
      <c r="N13" s="7" t="str">
        <f t="shared" si="8"/>
        <v>S</v>
      </c>
      <c r="O13" s="7">
        <v>30</v>
      </c>
      <c r="P13" s="7" t="str">
        <f t="shared" si="9"/>
        <v>F</v>
      </c>
      <c r="Q13" s="7">
        <v>24</v>
      </c>
      <c r="R13" s="7" t="str">
        <f t="shared" si="10"/>
        <v>F</v>
      </c>
      <c r="S13" s="7">
        <v>30</v>
      </c>
      <c r="T13" s="7" t="str">
        <f t="shared" si="11"/>
        <v>F</v>
      </c>
      <c r="U13" s="7">
        <v>31</v>
      </c>
      <c r="V13" s="7" t="str">
        <f t="shared" si="12"/>
        <v>F</v>
      </c>
      <c r="W13" s="7">
        <v>36</v>
      </c>
      <c r="X13" s="7" t="str">
        <f t="shared" si="13"/>
        <v>S</v>
      </c>
      <c r="Y13" s="7">
        <v>41</v>
      </c>
      <c r="Z13" s="7" t="str">
        <f t="shared" si="14"/>
        <v>S</v>
      </c>
      <c r="AA13" s="7">
        <f t="shared" si="0"/>
        <v>341</v>
      </c>
      <c r="AB13" s="7" t="str">
        <f t="shared" si="15"/>
        <v>34%</v>
      </c>
      <c r="AC13" s="14" t="s">
        <v>453</v>
      </c>
      <c r="AD13" s="7"/>
      <c r="AE13" s="7">
        <f t="shared" si="1"/>
        <v>5</v>
      </c>
      <c r="AF13" s="7">
        <f t="shared" si="2"/>
        <v>4</v>
      </c>
      <c r="AG13" s="7">
        <f t="shared" si="3"/>
        <v>0</v>
      </c>
      <c r="AH13" s="12"/>
      <c r="AI13" s="14" t="s">
        <v>453</v>
      </c>
      <c r="AJ13" s="7"/>
      <c r="AK13" s="27" t="str">
        <f t="shared" si="4"/>
        <v>Not Completed</v>
      </c>
    </row>
    <row r="14" spans="1:37" ht="27" customHeight="1">
      <c r="B14" s="28">
        <v>7</v>
      </c>
      <c r="C14" s="29" t="s">
        <v>405</v>
      </c>
      <c r="D14" s="30" t="s">
        <v>25</v>
      </c>
      <c r="E14" s="4" t="s">
        <v>47</v>
      </c>
      <c r="F14" s="25" t="s">
        <v>472</v>
      </c>
      <c r="G14" s="7">
        <v>51</v>
      </c>
      <c r="H14" s="7" t="str">
        <f t="shared" si="5"/>
        <v>S</v>
      </c>
      <c r="I14" s="7">
        <v>75</v>
      </c>
      <c r="J14" s="7" t="str">
        <f t="shared" si="6"/>
        <v>D</v>
      </c>
      <c r="K14" s="7">
        <v>82</v>
      </c>
      <c r="L14" s="7" t="str">
        <f t="shared" si="7"/>
        <v>D</v>
      </c>
      <c r="M14" s="7">
        <v>70</v>
      </c>
      <c r="N14" s="7" t="str">
        <f t="shared" si="8"/>
        <v>C</v>
      </c>
      <c r="O14" s="7">
        <v>55</v>
      </c>
      <c r="P14" s="7" t="str">
        <f t="shared" si="9"/>
        <v>C</v>
      </c>
      <c r="Q14" s="7">
        <v>90</v>
      </c>
      <c r="R14" s="7" t="str">
        <f t="shared" si="10"/>
        <v>D</v>
      </c>
      <c r="S14" s="7">
        <v>85</v>
      </c>
      <c r="T14" s="7" t="str">
        <f t="shared" si="11"/>
        <v>D</v>
      </c>
      <c r="U14" s="7">
        <v>72</v>
      </c>
      <c r="V14" s="7" t="str">
        <f t="shared" si="12"/>
        <v>C</v>
      </c>
      <c r="W14" s="7">
        <v>89</v>
      </c>
      <c r="X14" s="7" t="str">
        <f t="shared" si="13"/>
        <v>D</v>
      </c>
      <c r="Y14" s="7">
        <v>56</v>
      </c>
      <c r="Z14" s="7" t="str">
        <f t="shared" si="14"/>
        <v>C</v>
      </c>
      <c r="AA14" s="7">
        <f t="shared" si="0"/>
        <v>725</v>
      </c>
      <c r="AB14" s="7" t="str">
        <f t="shared" si="15"/>
        <v>73%</v>
      </c>
      <c r="AC14" s="14" t="s">
        <v>454</v>
      </c>
      <c r="AD14" s="7"/>
      <c r="AE14" s="7">
        <f t="shared" si="1"/>
        <v>0</v>
      </c>
      <c r="AF14" s="7">
        <f t="shared" si="2"/>
        <v>0</v>
      </c>
      <c r="AG14" s="7">
        <f t="shared" si="3"/>
        <v>0</v>
      </c>
      <c r="AH14" s="12"/>
      <c r="AI14" s="14" t="s">
        <v>454</v>
      </c>
      <c r="AJ14" s="7"/>
      <c r="AK14" s="27" t="str">
        <f t="shared" si="4"/>
        <v>Not Completed</v>
      </c>
    </row>
    <row r="15" spans="1:37" ht="27" customHeight="1">
      <c r="B15" s="28">
        <v>8</v>
      </c>
      <c r="C15" s="29" t="s">
        <v>26</v>
      </c>
      <c r="D15" s="30" t="s">
        <v>27</v>
      </c>
      <c r="E15" s="4" t="s">
        <v>48</v>
      </c>
      <c r="F15" s="25" t="s">
        <v>472</v>
      </c>
      <c r="G15" s="7" t="s">
        <v>6</v>
      </c>
      <c r="H15" s="7" t="str">
        <f>IF(G15="-", "AB", IF(G15&gt;=75, "D", IF(G15&gt;=55, "C", IF(G15&gt;=35, "S", IF(G15&gt;=0, "F")))))</f>
        <v>AB</v>
      </c>
      <c r="I15" s="7">
        <v>55</v>
      </c>
      <c r="J15" s="7" t="str">
        <f t="shared" si="6"/>
        <v>C</v>
      </c>
      <c r="K15" s="7">
        <v>62</v>
      </c>
      <c r="L15" s="7" t="str">
        <f t="shared" si="7"/>
        <v>C</v>
      </c>
      <c r="M15" s="7">
        <v>61</v>
      </c>
      <c r="N15" s="7" t="str">
        <f t="shared" si="8"/>
        <v>C</v>
      </c>
      <c r="O15" s="7">
        <v>53</v>
      </c>
      <c r="P15" s="7" t="str">
        <f>IF(O15="-", "Absent", IF(O15&gt;=75, "D", IF(O15&gt;=55, "C", IF(O15&gt;=35, "S", IF(O15&gt;=0, "F")))))</f>
        <v>S</v>
      </c>
      <c r="Q15" s="7" t="s">
        <v>6</v>
      </c>
      <c r="R15" s="7" t="str">
        <f>IF(Q15="-", "AB", IF(Q15&gt;=75, "D", IF(Q15&gt;=55, "C", IF(Q15&gt;=35, "S", IF(Q15&gt;=0, "F")))))</f>
        <v>AB</v>
      </c>
      <c r="S15" s="7" t="s">
        <v>6</v>
      </c>
      <c r="T15" s="7" t="str">
        <f>IF(S15="-", "AB", IF(S15&gt;=75, "D", IF(S15&gt;=55, "C", IF(S15&gt;=35, "S", IF(S15&gt;=0, "F")))))</f>
        <v>AB</v>
      </c>
      <c r="U15" s="7" t="s">
        <v>6</v>
      </c>
      <c r="V15" s="7" t="str">
        <f>IF(U15="-", "AB", IF(U15&gt;=75, "D", IF(U15&gt;=55, "C", IF(U15&gt;=35, "S", IF(U15&gt;=0, "F")))))</f>
        <v>AB</v>
      </c>
      <c r="W15" s="7" t="s">
        <v>6</v>
      </c>
      <c r="X15" s="7" t="str">
        <f>IF(W15="-", "AB", IF(W15&gt;=75, "D", IF(W15&gt;=55, "C", IF(W15&gt;=35, "S", IF(W15&gt;=0, "F")))))</f>
        <v>AB</v>
      </c>
      <c r="Y15" s="7" t="s">
        <v>6</v>
      </c>
      <c r="Z15" s="7" t="str">
        <f t="shared" si="14"/>
        <v>AB</v>
      </c>
      <c r="AA15" s="7">
        <f t="shared" si="0"/>
        <v>231</v>
      </c>
      <c r="AB15" s="7" t="str">
        <f t="shared" si="15"/>
        <v>23%</v>
      </c>
      <c r="AC15" s="17" t="str">
        <f t="shared" ref="AC15:AC22" si="17">IF(AA15&gt;0, "Not Completed",
   IF(W15=10, "First Class",
      IF(V15&gt;75, IF(Y15&gt;0, "Ordinary Pass", "First Class"),
         IF(V15&gt;65, IF(Y15&gt;0, "Ordinary Pass", "Second Class"),
            IF(V15&lt;65, "Ordinary Pass", "")
         )
      )
   )
)</f>
        <v>Not Completed</v>
      </c>
      <c r="AD15" s="7"/>
      <c r="AE15" s="7">
        <f t="shared" si="1"/>
        <v>1</v>
      </c>
      <c r="AF15" s="7">
        <f t="shared" si="2"/>
        <v>0</v>
      </c>
      <c r="AG15" s="7">
        <f t="shared" si="3"/>
        <v>6</v>
      </c>
      <c r="AH15" s="12"/>
      <c r="AI15" s="17" t="str">
        <f>IF(AG15&gt;0, "Not Completed",
   IF(AC15=10, "First Class",
      IF(AB15&gt;75, IF(AE15&gt;0, "Ordinary Pass", "First Class"),
         IF(AB15&gt;65, IF(AE15&gt;0, "Ordinary Pass", "Second Class"),
            IF(AB15&lt;65, "Ordinary Pass", "")
         )
      )
   )
)</f>
        <v>Not Completed</v>
      </c>
      <c r="AJ15" s="7"/>
      <c r="AK15" s="27" t="str">
        <f t="shared" si="4"/>
        <v>Not Completed</v>
      </c>
    </row>
    <row r="16" spans="1:37" ht="27" customHeight="1">
      <c r="B16" s="28">
        <v>9</v>
      </c>
      <c r="C16" s="29" t="s">
        <v>28</v>
      </c>
      <c r="D16" s="30" t="s">
        <v>29</v>
      </c>
      <c r="E16" s="4" t="s">
        <v>49</v>
      </c>
      <c r="F16" s="25" t="s">
        <v>472</v>
      </c>
      <c r="G16" s="7">
        <v>43</v>
      </c>
      <c r="H16" s="7" t="str">
        <f t="shared" si="5"/>
        <v>S</v>
      </c>
      <c r="I16" s="7">
        <v>62</v>
      </c>
      <c r="J16" s="7" t="str">
        <f t="shared" si="6"/>
        <v>C</v>
      </c>
      <c r="K16" s="7">
        <v>80</v>
      </c>
      <c r="L16" s="7" t="str">
        <f t="shared" si="7"/>
        <v>D</v>
      </c>
      <c r="M16" s="7">
        <v>60</v>
      </c>
      <c r="N16" s="7" t="str">
        <f t="shared" si="8"/>
        <v>C</v>
      </c>
      <c r="O16" s="7">
        <v>40</v>
      </c>
      <c r="P16" s="7" t="str">
        <f t="shared" si="9"/>
        <v>S</v>
      </c>
      <c r="Q16" s="7" t="s">
        <v>6</v>
      </c>
      <c r="R16" s="7" t="str">
        <f>IF(Q16="-", "AB", IF(Q16&gt;=75, "D", IF(Q16&gt;=55, "C", IF(Q16&gt;=35, "S", IF(Q16&gt;=0, "F")))))</f>
        <v>AB</v>
      </c>
      <c r="S16" s="7" t="s">
        <v>6</v>
      </c>
      <c r="T16" s="7" t="str">
        <f>IF(S16="-", "AB", IF(S16&gt;=75, "D", IF(S16&gt;=55, "C", IF(S16&gt;=35, "S", IF(S16&gt;=0, "F")))))</f>
        <v>AB</v>
      </c>
      <c r="U16" s="7" t="s">
        <v>6</v>
      </c>
      <c r="V16" s="7" t="str">
        <f>IF(U16="-", "AB", IF(U16&gt;=75, "D", IF(U16&gt;=55, "C", IF(U16&gt;=35, "S", IF(U16&gt;=0, "F")))))</f>
        <v>AB</v>
      </c>
      <c r="W16" s="7" t="s">
        <v>6</v>
      </c>
      <c r="X16" s="7" t="str">
        <f>IF(W16="-", "AB", IF(W16&gt;=75, "D", IF(W16&gt;=55, "C", IF(W16&gt;=35, "S", IF(W16&gt;=0, "F")))))</f>
        <v>AB</v>
      </c>
      <c r="Y16" s="7" t="s">
        <v>6</v>
      </c>
      <c r="Z16" s="7" t="str">
        <f t="shared" si="14"/>
        <v>AB</v>
      </c>
      <c r="AA16" s="7">
        <f t="shared" si="0"/>
        <v>285</v>
      </c>
      <c r="AB16" s="7" t="str">
        <f t="shared" si="15"/>
        <v>29%</v>
      </c>
      <c r="AC16" s="17" t="str">
        <f t="shared" ref="AC16" si="18">IF(COUNTIF(H16:AA16, "AB")=0, AVERAGEIF(H16:AA16, "&lt;&gt;AB"), "Not Completed")</f>
        <v>Not Completed</v>
      </c>
      <c r="AD16" s="7"/>
      <c r="AE16" s="18" t="str">
        <f>IF(COUNTIF(J16:AC16, "AB")=0, AVERAGEIF(J16:AC16, "&lt;&gt;AB"), "Not Completed")</f>
        <v>Not Completed</v>
      </c>
      <c r="AF16" s="18" t="str">
        <f>IF(COUNTIF(K16:AD16, "AB")=0, AVERAGEIF(K16:AD16, "&lt;&gt;AB"), "Not Completed")</f>
        <v>Not Completed</v>
      </c>
      <c r="AG16" s="18" t="str">
        <f>IF(COUNTIF(L16:AE16, "AB")=0, AVERAGEIF(L16:AE16, "&lt;&gt;AB"), "Not Completed")</f>
        <v>Not Completed</v>
      </c>
      <c r="AH16" s="18" t="str">
        <f>IF(COUNTIF(M16:AF16, "AB")=0, AVERAGEIF(M16:AF16, "&lt;&gt;AB"), "Not Completed")</f>
        <v>Not Completed</v>
      </c>
      <c r="AI16" s="17" t="str">
        <f>IF(COUNTIF(N16:AG16, "AB")=0, AVERAGEIF(N16:AG16, "&lt;&gt;AB"), "Not Completed")</f>
        <v>Not Completed</v>
      </c>
      <c r="AJ16" s="7"/>
      <c r="AK16" s="27" t="s">
        <v>15</v>
      </c>
    </row>
    <row r="17" spans="2:37" ht="27" customHeight="1">
      <c r="B17" s="28">
        <v>10</v>
      </c>
      <c r="C17" s="29" t="s">
        <v>30</v>
      </c>
      <c r="D17" s="30" t="s">
        <v>31</v>
      </c>
      <c r="E17" s="4" t="s">
        <v>50</v>
      </c>
      <c r="F17" s="25" t="s">
        <v>472</v>
      </c>
      <c r="G17" s="7">
        <v>43</v>
      </c>
      <c r="H17" s="7" t="str">
        <f t="shared" si="5"/>
        <v>S</v>
      </c>
      <c r="I17" s="7">
        <v>70</v>
      </c>
      <c r="J17" s="7" t="str">
        <f t="shared" si="6"/>
        <v>C</v>
      </c>
      <c r="K17" s="7">
        <v>56</v>
      </c>
      <c r="L17" s="7" t="str">
        <f t="shared" si="7"/>
        <v>C</v>
      </c>
      <c r="M17" s="7">
        <v>69</v>
      </c>
      <c r="N17" s="7" t="str">
        <f t="shared" si="8"/>
        <v>C</v>
      </c>
      <c r="O17" s="7">
        <v>61</v>
      </c>
      <c r="P17" s="7" t="str">
        <f t="shared" si="9"/>
        <v>C</v>
      </c>
      <c r="Q17" s="7">
        <v>47</v>
      </c>
      <c r="R17" s="7" t="str">
        <f t="shared" si="10"/>
        <v>S</v>
      </c>
      <c r="S17" s="7">
        <v>42</v>
      </c>
      <c r="T17" s="7" t="str">
        <f t="shared" si="11"/>
        <v>S</v>
      </c>
      <c r="U17" s="7">
        <v>53</v>
      </c>
      <c r="V17" s="7" t="str">
        <f t="shared" si="12"/>
        <v>S</v>
      </c>
      <c r="W17" s="7">
        <v>72</v>
      </c>
      <c r="X17" s="7" t="str">
        <f t="shared" si="13"/>
        <v>C</v>
      </c>
      <c r="Y17" s="7">
        <v>38</v>
      </c>
      <c r="Z17" s="7" t="str">
        <f t="shared" si="14"/>
        <v>S</v>
      </c>
      <c r="AA17" s="7">
        <f t="shared" si="0"/>
        <v>551</v>
      </c>
      <c r="AB17" s="7" t="str">
        <f t="shared" si="15"/>
        <v>55%</v>
      </c>
      <c r="AC17" s="14" t="s">
        <v>454</v>
      </c>
      <c r="AD17" s="7"/>
      <c r="AE17" s="7">
        <f t="shared" ref="AE17:AE24" si="19">COUNTIF(I17:AD17, "S")</f>
        <v>4</v>
      </c>
      <c r="AF17" s="7">
        <f t="shared" ref="AF17:AF24" si="20">COUNTIF(J17:AE17, "F")</f>
        <v>0</v>
      </c>
      <c r="AG17" s="7">
        <f t="shared" ref="AG17:AG24" si="21">COUNTIF(G17:AF17, "-")</f>
        <v>0</v>
      </c>
      <c r="AH17" s="12"/>
      <c r="AI17" s="14" t="str">
        <f>IF(AG17&gt;0, "Not Completed",
   IF(AC17=10, "First Class",
      IF(AB17&gt;75, IF(AE17&gt;0, "Ordinary Pass", "First Class"),
         IF(AB17&gt;65, IF(AE17&gt;0, "Ordinary Pass", "Second Class"),
            IF(AB17&lt;65, "Ordinary Pass", "")
         )
      )
   )
)</f>
        <v>Ordinary Pass</v>
      </c>
      <c r="AJ17" s="7"/>
      <c r="AK17" s="27" t="str">
        <f t="shared" ref="AK17:AK24" si="22">IF(AI17&gt;0, "Not Completed",
   IF(AE17=10, "First Class",
      IF(AB17&gt;75, IF(AG17&gt;0, "Ordinary Pass", "First Class"),
         IF(AB17&gt;65, IF(AG17&gt;0, "Ordinary Pass", "Second Class"),
            IF(AB17&lt;65, "Ordinary Pass", "")
         )
      )
   )
)</f>
        <v>Not Completed</v>
      </c>
    </row>
    <row r="18" spans="2:37" ht="27" customHeight="1">
      <c r="B18" s="28">
        <v>11</v>
      </c>
      <c r="C18" s="29" t="s">
        <v>32</v>
      </c>
      <c r="D18" s="30" t="s">
        <v>33</v>
      </c>
      <c r="E18" s="4" t="s">
        <v>51</v>
      </c>
      <c r="F18" s="25" t="s">
        <v>472</v>
      </c>
      <c r="G18" s="7">
        <v>45</v>
      </c>
      <c r="H18" s="7" t="str">
        <f t="shared" si="5"/>
        <v>S</v>
      </c>
      <c r="I18" s="7">
        <v>64</v>
      </c>
      <c r="J18" s="7" t="str">
        <f t="shared" si="6"/>
        <v>C</v>
      </c>
      <c r="K18" s="7">
        <v>66</v>
      </c>
      <c r="L18" s="7" t="str">
        <f t="shared" si="7"/>
        <v>C</v>
      </c>
      <c r="M18" s="7">
        <v>65</v>
      </c>
      <c r="N18" s="7" t="str">
        <f t="shared" si="8"/>
        <v>C</v>
      </c>
      <c r="O18" s="7">
        <v>54</v>
      </c>
      <c r="P18" s="7" t="str">
        <f t="shared" si="9"/>
        <v>S</v>
      </c>
      <c r="Q18" s="7">
        <v>53</v>
      </c>
      <c r="R18" s="7" t="str">
        <f t="shared" si="10"/>
        <v>S</v>
      </c>
      <c r="S18" s="7">
        <v>64</v>
      </c>
      <c r="T18" s="7" t="str">
        <f t="shared" si="11"/>
        <v>C</v>
      </c>
      <c r="U18" s="7">
        <v>54</v>
      </c>
      <c r="V18" s="7" t="str">
        <f t="shared" si="12"/>
        <v>S</v>
      </c>
      <c r="W18" s="7">
        <v>61</v>
      </c>
      <c r="X18" s="7" t="str">
        <f t="shared" si="13"/>
        <v>C</v>
      </c>
      <c r="Y18" s="7">
        <v>51</v>
      </c>
      <c r="Z18" s="7" t="str">
        <f t="shared" si="14"/>
        <v>S</v>
      </c>
      <c r="AA18" s="7">
        <f t="shared" si="0"/>
        <v>577</v>
      </c>
      <c r="AB18" s="7" t="str">
        <f t="shared" si="15"/>
        <v>58%</v>
      </c>
      <c r="AC18" s="14" t="s">
        <v>454</v>
      </c>
      <c r="AD18" s="7"/>
      <c r="AE18" s="7">
        <f t="shared" si="19"/>
        <v>4</v>
      </c>
      <c r="AF18" s="7">
        <f t="shared" si="20"/>
        <v>0</v>
      </c>
      <c r="AG18" s="7">
        <f t="shared" si="21"/>
        <v>0</v>
      </c>
      <c r="AH18" s="12"/>
      <c r="AI18" s="14" t="str">
        <f>IF(AG18&gt;0, "Not Completed",
   IF(AC18=10, "First Class",
      IF(AB18&gt;75, IF(AE18&gt;0, "Ordinary Pass", "First Class"),
         IF(AB18&gt;65, IF(AE18&gt;0, "Ordinary Pass", "Second Class"),
            IF(AB18&lt;65, "Ordinary Pass", "")
         )
      )
   )
)</f>
        <v>Ordinary Pass</v>
      </c>
      <c r="AJ18" s="7"/>
      <c r="AK18" s="27" t="str">
        <f t="shared" si="22"/>
        <v>Not Completed</v>
      </c>
    </row>
    <row r="19" spans="2:37" ht="27" customHeight="1">
      <c r="B19" s="28">
        <v>12</v>
      </c>
      <c r="C19" s="29" t="s">
        <v>34</v>
      </c>
      <c r="D19" s="30" t="s">
        <v>35</v>
      </c>
      <c r="E19" s="4" t="s">
        <v>52</v>
      </c>
      <c r="F19" s="25" t="s">
        <v>472</v>
      </c>
      <c r="G19" s="7">
        <v>40</v>
      </c>
      <c r="H19" s="7" t="str">
        <f t="shared" si="5"/>
        <v>S</v>
      </c>
      <c r="I19" s="7">
        <v>61</v>
      </c>
      <c r="J19" s="7" t="str">
        <f t="shared" si="6"/>
        <v>C</v>
      </c>
      <c r="K19" s="7">
        <v>53</v>
      </c>
      <c r="L19" s="7" t="str">
        <f t="shared" si="7"/>
        <v>S</v>
      </c>
      <c r="M19" s="7">
        <v>45</v>
      </c>
      <c r="N19" s="7" t="str">
        <f t="shared" si="8"/>
        <v>S</v>
      </c>
      <c r="O19" s="7">
        <v>41</v>
      </c>
      <c r="P19" s="7" t="str">
        <f t="shared" si="9"/>
        <v>S</v>
      </c>
      <c r="Q19" s="7" t="s">
        <v>6</v>
      </c>
      <c r="R19" s="7" t="str">
        <f t="shared" ref="J19:X24" si="23">IF(Q19="-", "AB", IF(Q19&gt;=75, "D", IF(Q19&gt;=55, "C", IF(Q19&gt;=35, "S", IF(Q19&gt;=0, "F")))))</f>
        <v>AB</v>
      </c>
      <c r="S19" s="7" t="s">
        <v>6</v>
      </c>
      <c r="T19" s="7" t="str">
        <f t="shared" si="23"/>
        <v>AB</v>
      </c>
      <c r="U19" s="7" t="s">
        <v>6</v>
      </c>
      <c r="V19" s="7" t="str">
        <f t="shared" si="23"/>
        <v>AB</v>
      </c>
      <c r="W19" s="7" t="s">
        <v>6</v>
      </c>
      <c r="X19" s="7" t="str">
        <f t="shared" si="23"/>
        <v>AB</v>
      </c>
      <c r="Y19" s="7" t="s">
        <v>6</v>
      </c>
      <c r="Z19" s="7" t="str">
        <f t="shared" si="14"/>
        <v>AB</v>
      </c>
      <c r="AA19" s="7">
        <f t="shared" si="0"/>
        <v>240</v>
      </c>
      <c r="AB19" s="7" t="str">
        <f t="shared" si="15"/>
        <v>24%</v>
      </c>
      <c r="AC19" s="17" t="str">
        <f t="shared" si="17"/>
        <v>Not Completed</v>
      </c>
      <c r="AD19" s="7"/>
      <c r="AE19" s="7">
        <f t="shared" si="19"/>
        <v>3</v>
      </c>
      <c r="AF19" s="7">
        <f t="shared" si="20"/>
        <v>0</v>
      </c>
      <c r="AG19" s="7">
        <f t="shared" si="21"/>
        <v>5</v>
      </c>
      <c r="AH19" s="12"/>
      <c r="AI19" s="17" t="str">
        <f>IF(AG19&gt;0, "Not Completed",
   IF(AC19=10, "First Class",
      IF(AB19&gt;75, IF(AE19&gt;0, "Ordinary Pass", "First Class"),
         IF(AB19&gt;65, IF(AE19&gt;0, "Ordinary Pass", "Second Class"),
            IF(AB19&lt;65, "Ordinary Pass", "")
         )
      )
   )
)</f>
        <v>Not Completed</v>
      </c>
      <c r="AJ19" s="7"/>
      <c r="AK19" s="27" t="str">
        <f t="shared" si="22"/>
        <v>Not Completed</v>
      </c>
    </row>
    <row r="20" spans="2:37" ht="27" customHeight="1">
      <c r="B20" s="28">
        <v>13</v>
      </c>
      <c r="C20" s="29" t="s">
        <v>36</v>
      </c>
      <c r="D20" s="30" t="s">
        <v>37</v>
      </c>
      <c r="E20" s="4" t="s">
        <v>53</v>
      </c>
      <c r="F20" s="25" t="s">
        <v>472</v>
      </c>
      <c r="G20" s="7">
        <v>51</v>
      </c>
      <c r="H20" s="7" t="str">
        <f t="shared" si="5"/>
        <v>S</v>
      </c>
      <c r="I20" s="7">
        <v>68</v>
      </c>
      <c r="J20" s="7" t="str">
        <f t="shared" si="6"/>
        <v>C</v>
      </c>
      <c r="K20" s="7">
        <v>70</v>
      </c>
      <c r="L20" s="7" t="str">
        <f t="shared" si="7"/>
        <v>C</v>
      </c>
      <c r="M20" s="7">
        <v>49</v>
      </c>
      <c r="N20" s="7" t="str">
        <f t="shared" si="8"/>
        <v>S</v>
      </c>
      <c r="O20" s="7">
        <v>26</v>
      </c>
      <c r="P20" s="7" t="str">
        <f t="shared" si="9"/>
        <v>F</v>
      </c>
      <c r="Q20" s="7" t="s">
        <v>6</v>
      </c>
      <c r="R20" s="7" t="str">
        <f t="shared" si="23"/>
        <v>AB</v>
      </c>
      <c r="S20" s="7" t="s">
        <v>6</v>
      </c>
      <c r="T20" s="7" t="str">
        <f t="shared" si="23"/>
        <v>AB</v>
      </c>
      <c r="U20" s="7" t="s">
        <v>6</v>
      </c>
      <c r="V20" s="7" t="str">
        <f t="shared" si="23"/>
        <v>AB</v>
      </c>
      <c r="W20" s="7" t="s">
        <v>6</v>
      </c>
      <c r="X20" s="7" t="str">
        <f t="shared" si="23"/>
        <v>AB</v>
      </c>
      <c r="Y20" s="7" t="s">
        <v>6</v>
      </c>
      <c r="Z20" s="7" t="str">
        <f t="shared" si="14"/>
        <v>AB</v>
      </c>
      <c r="AA20" s="7">
        <f t="shared" si="0"/>
        <v>264</v>
      </c>
      <c r="AB20" s="7" t="str">
        <f t="shared" si="15"/>
        <v>26%</v>
      </c>
      <c r="AC20" s="17" t="str">
        <f t="shared" si="17"/>
        <v>Not Completed</v>
      </c>
      <c r="AD20" s="7"/>
      <c r="AE20" s="7">
        <f t="shared" si="19"/>
        <v>1</v>
      </c>
      <c r="AF20" s="7">
        <f t="shared" si="20"/>
        <v>1</v>
      </c>
      <c r="AG20" s="7">
        <f t="shared" si="21"/>
        <v>5</v>
      </c>
      <c r="AH20" s="12"/>
      <c r="AI20" s="17" t="str">
        <f>IF(AG20&gt;0, "Not Completed",
   IF(AC20=10, "First Class",
      IF(AB20&gt;75, IF(AE20&gt;0, "Ordinary Pass", "First Class"),
         IF(AB20&gt;65, IF(AE20&gt;0, "Ordinary Pass", "Second Class"),
            IF(AB20&lt;65, "Ordinary Pass", "")
         )
      )
   )
)</f>
        <v>Not Completed</v>
      </c>
      <c r="AJ20" s="7"/>
      <c r="AK20" s="27" t="str">
        <f t="shared" si="22"/>
        <v>Not Completed</v>
      </c>
    </row>
    <row r="21" spans="2:37" ht="27" customHeight="1">
      <c r="B21" s="28">
        <v>14</v>
      </c>
      <c r="C21" s="29" t="s">
        <v>38</v>
      </c>
      <c r="D21" s="30">
        <v>198175700445</v>
      </c>
      <c r="E21" s="4" t="s">
        <v>54</v>
      </c>
      <c r="F21" s="25" t="s">
        <v>472</v>
      </c>
      <c r="G21" s="7" t="s">
        <v>6</v>
      </c>
      <c r="H21" s="7" t="str">
        <f>IF(G21="-", "AB", IF(G21&gt;=75, "D", IF(G21&gt;=55, "C", IF(G21&gt;=35, "S", IF(G21&gt;=0, "F")))))</f>
        <v>AB</v>
      </c>
      <c r="I21" s="7" t="s">
        <v>6</v>
      </c>
      <c r="J21" s="7" t="str">
        <f t="shared" si="23"/>
        <v>AB</v>
      </c>
      <c r="K21" s="7" t="s">
        <v>6</v>
      </c>
      <c r="L21" s="7" t="str">
        <f t="shared" ref="L21" si="24">IF(K21="-", "AB", IF(K21&gt;=75, "D", IF(K21&gt;=55, "C", IF(K21&gt;=35, "S", IF(K21&gt;=0, "F")))))</f>
        <v>AB</v>
      </c>
      <c r="M21" s="7" t="s">
        <v>6</v>
      </c>
      <c r="N21" s="7" t="str">
        <f t="shared" ref="N21" si="25">IF(M21="-", "AB", IF(M21&gt;=75, "D", IF(M21&gt;=55, "C", IF(M21&gt;=35, "S", IF(M21&gt;=0, "F")))))</f>
        <v>AB</v>
      </c>
      <c r="O21" s="7" t="s">
        <v>6</v>
      </c>
      <c r="P21" s="7" t="str">
        <f t="shared" ref="P21" si="26">IF(O21="-", "AB", IF(O21&gt;=75, "D", IF(O21&gt;=55, "C", IF(O21&gt;=35, "S", IF(O21&gt;=0, "F")))))</f>
        <v>AB</v>
      </c>
      <c r="Q21" s="7" t="s">
        <v>6</v>
      </c>
      <c r="R21" s="7" t="str">
        <f t="shared" si="23"/>
        <v>AB</v>
      </c>
      <c r="S21" s="7" t="s">
        <v>6</v>
      </c>
      <c r="T21" s="7" t="str">
        <f t="shared" si="23"/>
        <v>AB</v>
      </c>
      <c r="U21" s="7" t="s">
        <v>6</v>
      </c>
      <c r="V21" s="7" t="str">
        <f t="shared" si="23"/>
        <v>AB</v>
      </c>
      <c r="W21" s="7" t="s">
        <v>6</v>
      </c>
      <c r="X21" s="7" t="str">
        <f t="shared" si="23"/>
        <v>AB</v>
      </c>
      <c r="Y21" s="7" t="s">
        <v>6</v>
      </c>
      <c r="Z21" s="7" t="str">
        <f t="shared" si="14"/>
        <v>AB</v>
      </c>
      <c r="AA21" s="7">
        <f t="shared" si="0"/>
        <v>0</v>
      </c>
      <c r="AB21" s="7" t="str">
        <f t="shared" si="15"/>
        <v>0%</v>
      </c>
      <c r="AC21" s="17" t="s">
        <v>403</v>
      </c>
      <c r="AD21" s="7"/>
      <c r="AE21" s="7">
        <f t="shared" si="19"/>
        <v>0</v>
      </c>
      <c r="AF21" s="7">
        <f t="shared" si="20"/>
        <v>0</v>
      </c>
      <c r="AG21" s="7">
        <f t="shared" si="21"/>
        <v>10</v>
      </c>
      <c r="AH21" s="12"/>
      <c r="AI21" s="17" t="s">
        <v>403</v>
      </c>
      <c r="AJ21" s="7"/>
      <c r="AK21" s="27" t="str">
        <f t="shared" si="22"/>
        <v>Not Completed</v>
      </c>
    </row>
    <row r="22" spans="2:37" ht="27" customHeight="1">
      <c r="B22" s="28">
        <v>15</v>
      </c>
      <c r="C22" s="29" t="s">
        <v>39</v>
      </c>
      <c r="D22" s="30" t="s">
        <v>40</v>
      </c>
      <c r="E22" s="4" t="s">
        <v>55</v>
      </c>
      <c r="F22" s="25" t="s">
        <v>472</v>
      </c>
      <c r="G22" s="7">
        <v>53</v>
      </c>
      <c r="H22" s="7" t="str">
        <f t="shared" si="5"/>
        <v>S</v>
      </c>
      <c r="I22" s="7">
        <v>65</v>
      </c>
      <c r="J22" s="7" t="str">
        <f t="shared" si="6"/>
        <v>C</v>
      </c>
      <c r="K22" s="7">
        <v>56</v>
      </c>
      <c r="L22" s="7" t="str">
        <f t="shared" si="7"/>
        <v>C</v>
      </c>
      <c r="M22" s="7">
        <v>49</v>
      </c>
      <c r="N22" s="7" t="str">
        <f t="shared" si="8"/>
        <v>S</v>
      </c>
      <c r="O22" s="7">
        <v>41</v>
      </c>
      <c r="P22" s="7" t="str">
        <f t="shared" si="9"/>
        <v>S</v>
      </c>
      <c r="Q22" s="7" t="s">
        <v>6</v>
      </c>
      <c r="R22" s="7" t="str">
        <f t="shared" si="23"/>
        <v>AB</v>
      </c>
      <c r="S22" s="7" t="s">
        <v>6</v>
      </c>
      <c r="T22" s="7" t="str">
        <f t="shared" si="23"/>
        <v>AB</v>
      </c>
      <c r="U22" s="7" t="s">
        <v>6</v>
      </c>
      <c r="V22" s="7" t="str">
        <f t="shared" si="23"/>
        <v>AB</v>
      </c>
      <c r="W22" s="7" t="s">
        <v>6</v>
      </c>
      <c r="X22" s="7" t="str">
        <f t="shared" si="23"/>
        <v>AB</v>
      </c>
      <c r="Y22" s="7" t="s">
        <v>6</v>
      </c>
      <c r="Z22" s="7" t="str">
        <f t="shared" si="14"/>
        <v>AB</v>
      </c>
      <c r="AA22" s="7">
        <f t="shared" si="0"/>
        <v>264</v>
      </c>
      <c r="AB22" s="7" t="str">
        <f t="shared" si="15"/>
        <v>26%</v>
      </c>
      <c r="AC22" s="17" t="str">
        <f t="shared" si="17"/>
        <v>Not Completed</v>
      </c>
      <c r="AD22" s="7"/>
      <c r="AE22" s="7">
        <f t="shared" si="19"/>
        <v>2</v>
      </c>
      <c r="AF22" s="7">
        <f t="shared" si="20"/>
        <v>0</v>
      </c>
      <c r="AG22" s="7">
        <f t="shared" si="21"/>
        <v>5</v>
      </c>
      <c r="AH22" s="12"/>
      <c r="AI22" s="17" t="str">
        <f>IF(AG22&gt;0, "Not Completed",
   IF(AC22=10, "First Class",
      IF(AB22&gt;75, IF(AE22&gt;0, "Ordinary Pass", "First Class"),
         IF(AB22&gt;65, IF(AE22&gt;0, "Ordinary Pass", "Second Class"),
            IF(AB22&lt;65, "Ordinary Pass", "")
         )
      )
   )
)</f>
        <v>Not Completed</v>
      </c>
      <c r="AJ22" s="7"/>
      <c r="AK22" s="32" t="str">
        <f t="shared" si="22"/>
        <v>Not Completed</v>
      </c>
    </row>
    <row r="23" spans="2:37" ht="27" customHeight="1">
      <c r="B23" s="28">
        <v>16</v>
      </c>
      <c r="C23" s="33" t="s">
        <v>406</v>
      </c>
      <c r="D23" s="34" t="s">
        <v>56</v>
      </c>
      <c r="E23" s="4" t="s">
        <v>61</v>
      </c>
      <c r="F23" s="34" t="s">
        <v>473</v>
      </c>
      <c r="G23" s="7" t="s">
        <v>6</v>
      </c>
      <c r="H23" s="7" t="str">
        <f>IF(G23="-", "AB", IF(G23&gt;=75, "D", IF(G23&gt;=55, "C", IF(G23&gt;=35, "S", IF(G23&gt;=0, "F")))))</f>
        <v>AB</v>
      </c>
      <c r="I23" s="7" t="s">
        <v>6</v>
      </c>
      <c r="J23" s="7" t="str">
        <f>IF(I23="-", "AB", IF(I23&gt;=75, "D", IF(I23&gt;=55, "C", IF(I23&gt;=35, "S", IF(I23&gt;=0, "F")))))</f>
        <v>AB</v>
      </c>
      <c r="K23" s="7" t="s">
        <v>6</v>
      </c>
      <c r="L23" s="7" t="str">
        <f t="shared" ref="L23:L24" si="27">IF(K23="-", "AB", IF(K23&gt;=75, "D", IF(K23&gt;=55, "C", IF(K23&gt;=35, "S", IF(K23&gt;=0, "F")))))</f>
        <v>AB</v>
      </c>
      <c r="M23" s="7" t="s">
        <v>6</v>
      </c>
      <c r="N23" s="7" t="str">
        <f t="shared" ref="N23:N24" si="28">IF(M23="-", "AB", IF(M23&gt;=75, "D", IF(M23&gt;=55, "C", IF(M23&gt;=35, "S", IF(M23&gt;=0, "F")))))</f>
        <v>AB</v>
      </c>
      <c r="O23" s="7" t="s">
        <v>6</v>
      </c>
      <c r="P23" s="7" t="str">
        <f t="shared" ref="P23:P24" si="29">IF(O23="-", "AB", IF(O23&gt;=75, "D", IF(O23&gt;=55, "C", IF(O23&gt;=35, "S", IF(O23&gt;=0, "F")))))</f>
        <v>AB</v>
      </c>
      <c r="Q23" s="7" t="s">
        <v>6</v>
      </c>
      <c r="R23" s="7" t="str">
        <f t="shared" si="23"/>
        <v>AB</v>
      </c>
      <c r="S23" s="7" t="s">
        <v>6</v>
      </c>
      <c r="T23" s="7" t="str">
        <f t="shared" si="23"/>
        <v>AB</v>
      </c>
      <c r="U23" s="7" t="s">
        <v>6</v>
      </c>
      <c r="V23" s="7" t="str">
        <f t="shared" si="23"/>
        <v>AB</v>
      </c>
      <c r="W23" s="7" t="s">
        <v>6</v>
      </c>
      <c r="X23" s="7" t="str">
        <f t="shared" si="23"/>
        <v>AB</v>
      </c>
      <c r="Y23" s="7" t="s">
        <v>6</v>
      </c>
      <c r="Z23" s="7" t="str">
        <f>IF(Y23="-", "AB", IF(Y23&gt;=75, "D", IF(Y23&gt;=55, "C", IF(Y23&gt;=35, "S", IF(Y23&gt;=0, "F")))))</f>
        <v>AB</v>
      </c>
      <c r="AA23" s="7">
        <f t="shared" si="0"/>
        <v>0</v>
      </c>
      <c r="AB23" s="7" t="str">
        <f t="shared" si="15"/>
        <v>0%</v>
      </c>
      <c r="AC23" s="14" t="s">
        <v>403</v>
      </c>
      <c r="AD23" s="7"/>
      <c r="AE23" s="7">
        <f t="shared" si="19"/>
        <v>0</v>
      </c>
      <c r="AF23" s="7">
        <f t="shared" si="20"/>
        <v>0</v>
      </c>
      <c r="AG23" s="7">
        <f t="shared" si="21"/>
        <v>10</v>
      </c>
      <c r="AH23" s="12"/>
      <c r="AI23" s="14" t="s">
        <v>403</v>
      </c>
      <c r="AJ23" s="7"/>
      <c r="AK23" s="32" t="str">
        <f t="shared" si="22"/>
        <v>Not Completed</v>
      </c>
    </row>
    <row r="24" spans="2:37" ht="27" customHeight="1">
      <c r="B24" s="28">
        <v>17</v>
      </c>
      <c r="C24" s="29" t="s">
        <v>407</v>
      </c>
      <c r="D24" s="30" t="s">
        <v>57</v>
      </c>
      <c r="E24" s="4" t="s">
        <v>62</v>
      </c>
      <c r="F24" s="34" t="s">
        <v>473</v>
      </c>
      <c r="G24" s="7" t="s">
        <v>6</v>
      </c>
      <c r="H24" s="7" t="str">
        <f>IF(G24="-", "AB", IF(G24&gt;=75, "D", IF(G24&gt;=55, "C", IF(G24&gt;=35, "S", IF(G24&gt;=0, "F")))))</f>
        <v>AB</v>
      </c>
      <c r="I24" s="7" t="s">
        <v>6</v>
      </c>
      <c r="J24" s="7" t="str">
        <f t="shared" ref="J24" si="30">IF(I24="-", "AB", IF(I24&gt;=75, "D", IF(I24&gt;=55, "C", IF(I24&gt;=35, "S", IF(I24&gt;=0, "F")))))</f>
        <v>AB</v>
      </c>
      <c r="K24" s="7" t="s">
        <v>6</v>
      </c>
      <c r="L24" s="7" t="str">
        <f t="shared" si="27"/>
        <v>AB</v>
      </c>
      <c r="M24" s="7" t="s">
        <v>6</v>
      </c>
      <c r="N24" s="7" t="str">
        <f t="shared" si="28"/>
        <v>AB</v>
      </c>
      <c r="O24" s="7" t="s">
        <v>6</v>
      </c>
      <c r="P24" s="7" t="str">
        <f t="shared" si="29"/>
        <v>AB</v>
      </c>
      <c r="Q24" s="7" t="s">
        <v>6</v>
      </c>
      <c r="R24" s="7" t="str">
        <f t="shared" si="23"/>
        <v>AB</v>
      </c>
      <c r="S24" s="7" t="s">
        <v>6</v>
      </c>
      <c r="T24" s="7" t="str">
        <f t="shared" si="23"/>
        <v>AB</v>
      </c>
      <c r="U24" s="7" t="s">
        <v>6</v>
      </c>
      <c r="V24" s="7" t="str">
        <f t="shared" si="23"/>
        <v>AB</v>
      </c>
      <c r="W24" s="7" t="s">
        <v>6</v>
      </c>
      <c r="X24" s="7" t="str">
        <f t="shared" si="23"/>
        <v>AB</v>
      </c>
      <c r="Y24" s="7" t="s">
        <v>6</v>
      </c>
      <c r="Z24" s="7" t="str">
        <f t="shared" ref="Z24" si="31">IF(Y24="-", "AB", IF(Y24&gt;=75, "D", IF(Y24&gt;=55, "C", IF(Y24&gt;=35, "S", IF(Y24&gt;=0, "F")))))</f>
        <v>AB</v>
      </c>
      <c r="AA24" s="7">
        <f t="shared" si="0"/>
        <v>0</v>
      </c>
      <c r="AB24" s="7" t="str">
        <f t="shared" si="15"/>
        <v>0%</v>
      </c>
      <c r="AC24" s="14" t="s">
        <v>403</v>
      </c>
      <c r="AD24" s="7"/>
      <c r="AE24" s="7">
        <f t="shared" si="19"/>
        <v>0</v>
      </c>
      <c r="AF24" s="7">
        <f t="shared" si="20"/>
        <v>0</v>
      </c>
      <c r="AG24" s="7">
        <f t="shared" si="21"/>
        <v>10</v>
      </c>
      <c r="AH24" s="12"/>
      <c r="AI24" s="14" t="s">
        <v>403</v>
      </c>
      <c r="AJ24" s="7"/>
      <c r="AK24" s="32" t="str">
        <f t="shared" si="22"/>
        <v>Not Completed</v>
      </c>
    </row>
    <row r="25" spans="2:37" ht="27" customHeight="1">
      <c r="B25" s="28">
        <v>18</v>
      </c>
      <c r="C25" s="29" t="s">
        <v>58</v>
      </c>
      <c r="D25" s="30" t="s">
        <v>59</v>
      </c>
      <c r="E25" s="4" t="s">
        <v>63</v>
      </c>
      <c r="F25" s="34" t="s">
        <v>473</v>
      </c>
      <c r="G25" s="7">
        <v>48</v>
      </c>
      <c r="H25" s="7" t="str">
        <f>IF(G25="-", "Absent", IF(G25&gt;=75, "D", IF(G25&gt;=55, "C", IF(G25&gt;=35, "S", IF(G25&gt;=0, "F")))))</f>
        <v>S</v>
      </c>
      <c r="I25" s="7">
        <v>62</v>
      </c>
      <c r="J25" s="7" t="str">
        <f>IF(I25="-", "Absent", IF(I25&gt;=75, "D", IF(I25&gt;=55, "C", IF(I25&gt;=35, "S", IF(I25&gt;=0, "F")))))</f>
        <v>C</v>
      </c>
      <c r="K25" s="7">
        <v>64</v>
      </c>
      <c r="L25" s="7" t="str">
        <f>IF(K25="-", "Absent", IF(K25&gt;=75, "D", IF(K25&gt;=55, "C", IF(K25&gt;=35, "S", IF(K25&gt;=0, "F")))))</f>
        <v>C</v>
      </c>
      <c r="M25" s="7">
        <v>69</v>
      </c>
      <c r="N25" s="7" t="str">
        <f>IF(M25="-", "Absent", IF(M25&gt;=75, "D", IF(M25&gt;=55, "C", IF(M25&gt;=35, "S", IF(M25&gt;=0, "F")))))</f>
        <v>C</v>
      </c>
      <c r="O25" s="7">
        <v>38</v>
      </c>
      <c r="P25" s="7" t="str">
        <f>IF(O25="-", "Absent", IF(O25&gt;=75, "D", IF(O25&gt;=55, "C", IF(O25&gt;=35, "S", IF(O25&gt;=0, "F")))))</f>
        <v>S</v>
      </c>
      <c r="Q25" s="7">
        <v>58</v>
      </c>
      <c r="R25" s="7" t="str">
        <f>IF(Q25="-", "Absent", IF(Q25&gt;=75, "D", IF(Q25&gt;=55, "C", IF(Q25&gt;=35, "S", IF(Q25&gt;=0, "F")))))</f>
        <v>C</v>
      </c>
      <c r="S25" s="7">
        <v>41</v>
      </c>
      <c r="T25" s="7" t="str">
        <f>IF(S25="-", "Absent", IF(S25&gt;=75, "D", IF(S25&gt;=55, "C", IF(S25&gt;=35, "S", IF(S25&gt;=0, "F")))))</f>
        <v>S</v>
      </c>
      <c r="U25" s="7">
        <v>73</v>
      </c>
      <c r="V25" s="7" t="str">
        <f>IF(U25="-", "Absent", IF(U25&gt;=75, "D", IF(U25&gt;=55, "C", IF(U25&gt;=35, "S", IF(U25&gt;=0, "F")))))</f>
        <v>C</v>
      </c>
      <c r="W25" s="7">
        <v>70</v>
      </c>
      <c r="X25" s="7" t="str">
        <f>IF(W25="-", "Absent", IF(W25&gt;=75, "D", IF(W25&gt;=55, "C", IF(W25&gt;=35, "S", IF(W25&gt;=0, "F")))))</f>
        <v>C</v>
      </c>
      <c r="Y25" s="7">
        <v>52</v>
      </c>
      <c r="Z25" s="7" t="str">
        <f>IF(Y25="-", "AB", IF(Y25&gt;=75, "D", IF(Y25&gt;=55, "C", IF(Y25&gt;=35, "S", IF(Y25&gt;=0, "F")))))</f>
        <v>S</v>
      </c>
      <c r="AA25" s="7">
        <f>SUMIF(G25:Z25, "&lt;&gt;AB")</f>
        <v>575</v>
      </c>
      <c r="AB25" s="7" t="str">
        <f>ROUND(AA25/10, 0)&amp;"%"</f>
        <v>58%</v>
      </c>
      <c r="AC25" s="14" t="s">
        <v>454</v>
      </c>
      <c r="AD25" s="7"/>
      <c r="AH25" s="12"/>
      <c r="AI25" s="15"/>
      <c r="AJ25" s="8"/>
      <c r="AK25" s="5"/>
    </row>
    <row r="26" spans="2:37" ht="27" customHeight="1">
      <c r="B26" s="28">
        <v>19</v>
      </c>
      <c r="C26" s="29" t="s">
        <v>60</v>
      </c>
      <c r="D26" s="30">
        <v>197074702286</v>
      </c>
      <c r="E26" s="4" t="s">
        <v>64</v>
      </c>
      <c r="F26" s="30" t="s">
        <v>473</v>
      </c>
      <c r="G26" s="7" t="s">
        <v>6</v>
      </c>
      <c r="H26" s="7" t="str">
        <f>IF(G26="-", "AB", IF(G26&gt;=75, "D", IF(G26&gt;=55, "C", IF(G26&gt;=35, "S", IF(G26&gt;=0, "F")))))</f>
        <v>AB</v>
      </c>
      <c r="I26" s="7" t="s">
        <v>6</v>
      </c>
      <c r="J26" s="7" t="str">
        <f t="shared" ref="J26" si="32">IF(I26="-", "AB", IF(I26&gt;=75, "D", IF(I26&gt;=55, "C", IF(I26&gt;=35, "S", IF(I26&gt;=0, "F")))))</f>
        <v>AB</v>
      </c>
      <c r="K26" s="7" t="s">
        <v>6</v>
      </c>
      <c r="L26" s="7" t="str">
        <f t="shared" ref="L26" si="33">IF(K26="-", "AB", IF(K26&gt;=75, "D", IF(K26&gt;=55, "C", IF(K26&gt;=35, "S", IF(K26&gt;=0, "F")))))</f>
        <v>AB</v>
      </c>
      <c r="M26" s="7" t="s">
        <v>6</v>
      </c>
      <c r="N26" s="7" t="str">
        <f t="shared" ref="N26" si="34">IF(M26="-", "AB", IF(M26&gt;=75, "D", IF(M26&gt;=55, "C", IF(M26&gt;=35, "S", IF(M26&gt;=0, "F")))))</f>
        <v>AB</v>
      </c>
      <c r="O26" s="7" t="s">
        <v>6</v>
      </c>
      <c r="P26" s="7" t="str">
        <f t="shared" ref="P26" si="35">IF(O26="-", "AB", IF(O26&gt;=75, "D", IF(O26&gt;=55, "C", IF(O26&gt;=35, "S", IF(O26&gt;=0, "F")))))</f>
        <v>AB</v>
      </c>
      <c r="Q26" s="7" t="s">
        <v>6</v>
      </c>
      <c r="R26" s="7" t="str">
        <f t="shared" ref="R26" si="36">IF(Q26="-", "AB", IF(Q26&gt;=75, "D", IF(Q26&gt;=55, "C", IF(Q26&gt;=35, "S", IF(Q26&gt;=0, "F")))))</f>
        <v>AB</v>
      </c>
      <c r="S26" s="7" t="s">
        <v>6</v>
      </c>
      <c r="T26" s="7" t="str">
        <f t="shared" ref="T26" si="37">IF(S26="-", "AB", IF(S26&gt;=75, "D", IF(S26&gt;=55, "C", IF(S26&gt;=35, "S", IF(S26&gt;=0, "F")))))</f>
        <v>AB</v>
      </c>
      <c r="U26" s="7" t="s">
        <v>6</v>
      </c>
      <c r="V26" s="7" t="str">
        <f t="shared" ref="V26" si="38">IF(U26="-", "AB", IF(U26&gt;=75, "D", IF(U26&gt;=55, "C", IF(U26&gt;=35, "S", IF(U26&gt;=0, "F")))))</f>
        <v>AB</v>
      </c>
      <c r="W26" s="7" t="s">
        <v>6</v>
      </c>
      <c r="X26" s="7" t="str">
        <f t="shared" ref="X26" si="39">IF(W26="-", "AB", IF(W26&gt;=75, "D", IF(W26&gt;=55, "C", IF(W26&gt;=35, "S", IF(W26&gt;=0, "F")))))</f>
        <v>AB</v>
      </c>
      <c r="Y26" s="7" t="s">
        <v>6</v>
      </c>
      <c r="Z26" s="7" t="str">
        <f t="shared" ref="Z26:Z41" si="40">IF(Y26="-", "AB", IF(Y26&gt;=75, "D", IF(Y26&gt;=55, "C", IF(Y26&gt;=35, "S", IF(Y26&gt;=0, "F")))))</f>
        <v>AB</v>
      </c>
      <c r="AA26" s="7">
        <f t="shared" ref="AA26:AA41" si="41">SUMIF(G26:Z26, "&lt;&gt;AB")</f>
        <v>0</v>
      </c>
      <c r="AB26" s="7" t="str">
        <f t="shared" ref="AB26:AB41" si="42">ROUND(AA26/10, 0)&amp;"%"</f>
        <v>0%</v>
      </c>
      <c r="AC26" s="14" t="s">
        <v>403</v>
      </c>
      <c r="AD26" s="7"/>
      <c r="AE26" s="7">
        <f t="shared" ref="AE26:AE57" si="43">COUNTIF(I26:AD26, "S")</f>
        <v>0</v>
      </c>
      <c r="AF26" s="7">
        <f t="shared" ref="AF26:AF57" si="44">COUNTIF(J26:AE26, "F")</f>
        <v>0</v>
      </c>
      <c r="AG26" s="7">
        <f t="shared" ref="AG26:AG57" si="45">COUNTIF(G26:AF26, "-")</f>
        <v>10</v>
      </c>
      <c r="AH26" s="12"/>
      <c r="AI26" s="14" t="s">
        <v>403</v>
      </c>
      <c r="AJ26" s="7"/>
      <c r="AK26" s="32" t="str">
        <f t="shared" ref="AK26:AK57" si="46">IF(AI26&gt;0, "Not Completed",
   IF(AE26=10, "First Class",
      IF(AB26&gt;75, IF(AG26&gt;0, "Ordinary Pass", "First Class"),
         IF(AB26&gt;65, IF(AG26&gt;0, "Ordinary Pass", "Second Class"),
            IF(AB26&lt;65, "Ordinary Pass", "")
         )
      )
   )
)</f>
        <v>Not Completed</v>
      </c>
    </row>
    <row r="27" spans="2:37" ht="27" customHeight="1">
      <c r="B27" s="28">
        <v>20</v>
      </c>
      <c r="C27" s="29" t="s">
        <v>83</v>
      </c>
      <c r="D27" s="30">
        <v>198413300854</v>
      </c>
      <c r="E27" s="4" t="s">
        <v>65</v>
      </c>
      <c r="F27" s="30" t="s">
        <v>473</v>
      </c>
      <c r="G27" s="7">
        <v>53</v>
      </c>
      <c r="H27" s="7" t="str">
        <f t="shared" ref="H27:H41" si="47">IF(G27="-", "Absent", IF(G27&gt;=75, "D", IF(G27&gt;=55, "C", IF(G27&gt;=35, "S", IF(G27&gt;=0, "F")))))</f>
        <v>S</v>
      </c>
      <c r="I27" s="7">
        <v>68</v>
      </c>
      <c r="J27" s="7" t="str">
        <f t="shared" ref="J27:J41" si="48">IF(I27="-", "Absent", IF(I27&gt;=75, "D", IF(I27&gt;=55, "C", IF(I27&gt;=35, "S", IF(I27&gt;=0, "F")))))</f>
        <v>C</v>
      </c>
      <c r="K27" s="7">
        <v>60</v>
      </c>
      <c r="L27" s="7" t="str">
        <f t="shared" ref="L27:L41" si="49">IF(K27="-", "Absent", IF(K27&gt;=75, "D", IF(K27&gt;=55, "C", IF(K27&gt;=35, "S", IF(K27&gt;=0, "F")))))</f>
        <v>C</v>
      </c>
      <c r="M27" s="7">
        <v>63</v>
      </c>
      <c r="N27" s="7" t="str">
        <f t="shared" ref="N27:N41" si="50">IF(M27="-", "Absent", IF(M27&gt;=75, "D", IF(M27&gt;=55, "C", IF(M27&gt;=35, "S", IF(M27&gt;=0, "F")))))</f>
        <v>C</v>
      </c>
      <c r="O27" s="7">
        <v>27</v>
      </c>
      <c r="P27" s="7" t="str">
        <f t="shared" ref="P27:P41" si="51">IF(O27="-", "Absent", IF(O27&gt;=75, "D", IF(O27&gt;=55, "C", IF(O27&gt;=35, "S", IF(O27&gt;=0, "F")))))</f>
        <v>F</v>
      </c>
      <c r="Q27" s="7">
        <v>43</v>
      </c>
      <c r="R27" s="7" t="str">
        <f t="shared" ref="R27:R41" si="52">IF(Q27="-", "Absent", IF(Q27&gt;=75, "D", IF(Q27&gt;=55, "C", IF(Q27&gt;=35, "S", IF(Q27&gt;=0, "F")))))</f>
        <v>S</v>
      </c>
      <c r="S27" s="7">
        <v>58</v>
      </c>
      <c r="T27" s="7" t="str">
        <f t="shared" ref="T27:T41" si="53">IF(S27="-", "Absent", IF(S27&gt;=75, "D", IF(S27&gt;=55, "C", IF(S27&gt;=35, "S", IF(S27&gt;=0, "F")))))</f>
        <v>C</v>
      </c>
      <c r="U27" s="7">
        <v>52</v>
      </c>
      <c r="V27" s="7" t="str">
        <f t="shared" ref="V27:V41" si="54">IF(U27="-", "Absent", IF(U27&gt;=75, "D", IF(U27&gt;=55, "C", IF(U27&gt;=35, "S", IF(U27&gt;=0, "F")))))</f>
        <v>S</v>
      </c>
      <c r="W27" s="7">
        <v>56</v>
      </c>
      <c r="X27" s="7" t="str">
        <f t="shared" ref="X27:X41" si="55">IF(W27="-", "Absent", IF(W27&gt;=75, "D", IF(W27&gt;=55, "C", IF(W27&gt;=35, "S", IF(W27&gt;=0, "F")))))</f>
        <v>C</v>
      </c>
      <c r="Y27" s="7">
        <v>20</v>
      </c>
      <c r="Z27" s="7" t="str">
        <f t="shared" si="40"/>
        <v>F</v>
      </c>
      <c r="AA27" s="7">
        <f t="shared" si="41"/>
        <v>500</v>
      </c>
      <c r="AB27" s="7" t="str">
        <f t="shared" si="42"/>
        <v>50%</v>
      </c>
      <c r="AC27" s="14" t="s">
        <v>15</v>
      </c>
      <c r="AD27" s="7" t="s">
        <v>457</v>
      </c>
      <c r="AE27" s="7">
        <f t="shared" si="43"/>
        <v>2</v>
      </c>
      <c r="AF27" s="7">
        <f t="shared" si="44"/>
        <v>2</v>
      </c>
      <c r="AG27" s="7">
        <f t="shared" si="45"/>
        <v>0</v>
      </c>
      <c r="AH27" s="12"/>
      <c r="AI27" s="14" t="s">
        <v>15</v>
      </c>
      <c r="AJ27" s="7" t="s">
        <v>457</v>
      </c>
      <c r="AK27" s="32" t="str">
        <f t="shared" si="46"/>
        <v>Not Completed</v>
      </c>
    </row>
    <row r="28" spans="2:37" ht="27" customHeight="1">
      <c r="B28" s="28">
        <v>21</v>
      </c>
      <c r="C28" s="29" t="s">
        <v>84</v>
      </c>
      <c r="D28" s="30">
        <v>197674900283</v>
      </c>
      <c r="E28" s="4" t="s">
        <v>66</v>
      </c>
      <c r="F28" s="30" t="s">
        <v>473</v>
      </c>
      <c r="G28" s="7">
        <v>46</v>
      </c>
      <c r="H28" s="7" t="str">
        <f t="shared" si="47"/>
        <v>S</v>
      </c>
      <c r="I28" s="7">
        <v>70</v>
      </c>
      <c r="J28" s="7" t="str">
        <f t="shared" si="48"/>
        <v>C</v>
      </c>
      <c r="K28" s="7">
        <v>66</v>
      </c>
      <c r="L28" s="7" t="str">
        <f t="shared" si="49"/>
        <v>C</v>
      </c>
      <c r="M28" s="7">
        <v>74</v>
      </c>
      <c r="N28" s="7" t="str">
        <f t="shared" si="50"/>
        <v>C</v>
      </c>
      <c r="O28" s="7">
        <v>33</v>
      </c>
      <c r="P28" s="7" t="str">
        <f t="shared" si="51"/>
        <v>F</v>
      </c>
      <c r="Q28" s="7">
        <v>51</v>
      </c>
      <c r="R28" s="7" t="str">
        <f t="shared" si="52"/>
        <v>S</v>
      </c>
      <c r="S28" s="7">
        <v>70</v>
      </c>
      <c r="T28" s="7" t="str">
        <f t="shared" si="53"/>
        <v>C</v>
      </c>
      <c r="U28" s="7">
        <v>61</v>
      </c>
      <c r="V28" s="7" t="str">
        <f t="shared" si="54"/>
        <v>C</v>
      </c>
      <c r="W28" s="7">
        <v>72</v>
      </c>
      <c r="X28" s="7" t="str">
        <f t="shared" si="55"/>
        <v>C</v>
      </c>
      <c r="Y28" s="7">
        <v>49</v>
      </c>
      <c r="Z28" s="7" t="str">
        <f t="shared" si="40"/>
        <v>S</v>
      </c>
      <c r="AA28" s="7">
        <f t="shared" si="41"/>
        <v>592</v>
      </c>
      <c r="AB28" s="7" t="str">
        <f t="shared" si="42"/>
        <v>59%</v>
      </c>
      <c r="AC28" s="14" t="s">
        <v>15</v>
      </c>
      <c r="AD28" s="7">
        <v>5</v>
      </c>
      <c r="AE28" s="7">
        <f t="shared" si="43"/>
        <v>2</v>
      </c>
      <c r="AF28" s="7">
        <f t="shared" si="44"/>
        <v>1</v>
      </c>
      <c r="AG28" s="7">
        <f t="shared" si="45"/>
        <v>0</v>
      </c>
      <c r="AH28" s="12"/>
      <c r="AI28" s="14" t="s">
        <v>15</v>
      </c>
      <c r="AJ28" s="7">
        <v>5</v>
      </c>
      <c r="AK28" s="32" t="str">
        <f t="shared" si="46"/>
        <v>Not Completed</v>
      </c>
    </row>
    <row r="29" spans="2:37" ht="27" customHeight="1">
      <c r="B29" s="28">
        <v>22</v>
      </c>
      <c r="C29" s="29" t="s">
        <v>408</v>
      </c>
      <c r="D29" s="30">
        <v>198962201388</v>
      </c>
      <c r="E29" s="4" t="s">
        <v>67</v>
      </c>
      <c r="F29" s="30" t="s">
        <v>473</v>
      </c>
      <c r="G29" s="7">
        <v>56</v>
      </c>
      <c r="H29" s="7" t="str">
        <f t="shared" si="47"/>
        <v>C</v>
      </c>
      <c r="I29" s="7">
        <v>85</v>
      </c>
      <c r="J29" s="7" t="str">
        <f t="shared" si="48"/>
        <v>D</v>
      </c>
      <c r="K29" s="7">
        <v>80</v>
      </c>
      <c r="L29" s="7" t="str">
        <f t="shared" si="49"/>
        <v>D</v>
      </c>
      <c r="M29" s="7">
        <v>72</v>
      </c>
      <c r="N29" s="7" t="str">
        <f t="shared" si="50"/>
        <v>C</v>
      </c>
      <c r="O29" s="7">
        <v>62</v>
      </c>
      <c r="P29" s="7" t="str">
        <f t="shared" si="51"/>
        <v>C</v>
      </c>
      <c r="Q29" s="7">
        <v>84</v>
      </c>
      <c r="R29" s="7" t="str">
        <f t="shared" si="52"/>
        <v>D</v>
      </c>
      <c r="S29" s="7">
        <v>77</v>
      </c>
      <c r="T29" s="7" t="str">
        <f t="shared" si="53"/>
        <v>D</v>
      </c>
      <c r="U29" s="7">
        <v>74</v>
      </c>
      <c r="V29" s="7" t="str">
        <f t="shared" si="54"/>
        <v>C</v>
      </c>
      <c r="W29" s="7">
        <v>84</v>
      </c>
      <c r="X29" s="7" t="str">
        <f t="shared" si="55"/>
        <v>D</v>
      </c>
      <c r="Y29" s="7">
        <v>53</v>
      </c>
      <c r="Z29" s="7" t="str">
        <f t="shared" si="40"/>
        <v>S</v>
      </c>
      <c r="AA29" s="7">
        <f t="shared" si="41"/>
        <v>727</v>
      </c>
      <c r="AB29" s="7" t="str">
        <f t="shared" si="42"/>
        <v>73%</v>
      </c>
      <c r="AC29" s="14" t="s">
        <v>454</v>
      </c>
      <c r="AD29" s="7"/>
      <c r="AE29" s="7">
        <f t="shared" si="43"/>
        <v>1</v>
      </c>
      <c r="AF29" s="7">
        <f t="shared" si="44"/>
        <v>0</v>
      </c>
      <c r="AG29" s="7">
        <f t="shared" si="45"/>
        <v>0</v>
      </c>
      <c r="AH29" s="12"/>
      <c r="AI29" s="14" t="str">
        <f>IF(AG29&gt;0, "Not Completed",
   IF(AC29=10, "First Class",
      IF(AB29&gt;75, IF(AE29&gt;0, "Ordinary Pass", "First Class"),
         IF(AB29&gt;65, IF(AE29&gt;0, "Ordinary Pass", "Second Class"),
            IF(AB29&lt;65, "Ordinary Pass", "")
         )
      )
   )
)</f>
        <v>Ordinary Pass</v>
      </c>
      <c r="AJ29" s="7"/>
      <c r="AK29" s="32" t="str">
        <f t="shared" si="46"/>
        <v>Not Completed</v>
      </c>
    </row>
    <row r="30" spans="2:37" ht="27" customHeight="1">
      <c r="B30" s="28">
        <v>23</v>
      </c>
      <c r="C30" s="29" t="s">
        <v>85</v>
      </c>
      <c r="D30" s="30" t="s">
        <v>86</v>
      </c>
      <c r="E30" s="4" t="s">
        <v>68</v>
      </c>
      <c r="F30" s="30" t="s">
        <v>473</v>
      </c>
      <c r="G30" s="7">
        <v>44</v>
      </c>
      <c r="H30" s="7" t="str">
        <f t="shared" si="47"/>
        <v>S</v>
      </c>
      <c r="I30" s="7">
        <v>71</v>
      </c>
      <c r="J30" s="7" t="str">
        <f t="shared" si="48"/>
        <v>C</v>
      </c>
      <c r="K30" s="7">
        <v>76</v>
      </c>
      <c r="L30" s="7" t="str">
        <f t="shared" si="49"/>
        <v>D</v>
      </c>
      <c r="M30" s="7">
        <v>54</v>
      </c>
      <c r="N30" s="7" t="str">
        <f t="shared" si="50"/>
        <v>S</v>
      </c>
      <c r="O30" s="7">
        <v>38</v>
      </c>
      <c r="P30" s="7" t="str">
        <f>IF(O30="-", "Absent", IF(O30&gt;=75, "D", IF(O30&gt;=55, "C", IF(O30&gt;=35, "S", IF(O30&gt;=0, "F")))))</f>
        <v>S</v>
      </c>
      <c r="Q30" s="7">
        <v>81</v>
      </c>
      <c r="R30" s="7" t="str">
        <f t="shared" si="52"/>
        <v>D</v>
      </c>
      <c r="S30" s="7">
        <v>78</v>
      </c>
      <c r="T30" s="7" t="str">
        <f t="shared" si="53"/>
        <v>D</v>
      </c>
      <c r="U30" s="7">
        <v>73</v>
      </c>
      <c r="V30" s="7" t="str">
        <f t="shared" si="54"/>
        <v>C</v>
      </c>
      <c r="W30" s="7">
        <v>69</v>
      </c>
      <c r="X30" s="7" t="str">
        <f t="shared" si="55"/>
        <v>C</v>
      </c>
      <c r="Y30" s="7">
        <v>45</v>
      </c>
      <c r="Z30" s="7" t="str">
        <f t="shared" si="40"/>
        <v>S</v>
      </c>
      <c r="AA30" s="7">
        <f t="shared" si="41"/>
        <v>629</v>
      </c>
      <c r="AB30" s="7" t="str">
        <f t="shared" si="42"/>
        <v>63%</v>
      </c>
      <c r="AC30" s="14" t="s">
        <v>454</v>
      </c>
      <c r="AD30" s="7"/>
      <c r="AE30" s="7">
        <f t="shared" si="43"/>
        <v>3</v>
      </c>
      <c r="AF30" s="7">
        <f t="shared" si="44"/>
        <v>0</v>
      </c>
      <c r="AG30" s="7">
        <f t="shared" si="45"/>
        <v>0</v>
      </c>
      <c r="AH30" s="12"/>
      <c r="AI30" s="14" t="str">
        <f>IF(AG30&gt;0, "Not Completed",
   IF(AC30=10, "First Class",
      IF(AB30&gt;75, IF(AE30&gt;0, "Ordinary Pass", "First Class"),
         IF(AB30&gt;65, IF(AE30&gt;0, "Ordinary Pass", "Second Class"),
            IF(AB30&lt;65, "Ordinary Pass", "")
         )
      )
   )
)</f>
        <v>Ordinary Pass</v>
      </c>
      <c r="AJ30" s="7"/>
      <c r="AK30" s="32" t="str">
        <f t="shared" si="46"/>
        <v>Not Completed</v>
      </c>
    </row>
    <row r="31" spans="2:37" ht="27" customHeight="1">
      <c r="B31" s="28">
        <v>24</v>
      </c>
      <c r="C31" s="29" t="s">
        <v>409</v>
      </c>
      <c r="D31" s="35" t="s">
        <v>87</v>
      </c>
      <c r="E31" s="4" t="s">
        <v>69</v>
      </c>
      <c r="F31" s="30" t="s">
        <v>473</v>
      </c>
      <c r="G31" s="7">
        <v>48</v>
      </c>
      <c r="H31" s="7" t="str">
        <f t="shared" si="47"/>
        <v>S</v>
      </c>
      <c r="I31" s="7">
        <v>57</v>
      </c>
      <c r="J31" s="7" t="str">
        <f t="shared" si="48"/>
        <v>C</v>
      </c>
      <c r="K31" s="7">
        <v>66</v>
      </c>
      <c r="L31" s="7" t="str">
        <f t="shared" si="49"/>
        <v>C</v>
      </c>
      <c r="M31" s="7">
        <v>59</v>
      </c>
      <c r="N31" s="7" t="str">
        <f t="shared" si="50"/>
        <v>C</v>
      </c>
      <c r="O31" s="7">
        <v>34</v>
      </c>
      <c r="P31" s="7" t="str">
        <f t="shared" si="51"/>
        <v>F</v>
      </c>
      <c r="Q31" s="7">
        <v>62</v>
      </c>
      <c r="R31" s="7" t="str">
        <f t="shared" si="52"/>
        <v>C</v>
      </c>
      <c r="S31" s="7">
        <v>70</v>
      </c>
      <c r="T31" s="7" t="str">
        <f t="shared" si="53"/>
        <v>C</v>
      </c>
      <c r="U31" s="7">
        <v>67</v>
      </c>
      <c r="V31" s="7" t="str">
        <f t="shared" si="54"/>
        <v>C</v>
      </c>
      <c r="W31" s="7">
        <v>81</v>
      </c>
      <c r="X31" s="7" t="str">
        <f t="shared" si="55"/>
        <v>D</v>
      </c>
      <c r="Y31" s="7">
        <v>47</v>
      </c>
      <c r="Z31" s="7" t="str">
        <f t="shared" si="40"/>
        <v>S</v>
      </c>
      <c r="AA31" s="7">
        <f t="shared" si="41"/>
        <v>591</v>
      </c>
      <c r="AB31" s="7" t="str">
        <f t="shared" si="42"/>
        <v>59%</v>
      </c>
      <c r="AC31" s="14" t="s">
        <v>15</v>
      </c>
      <c r="AD31" s="7">
        <v>5</v>
      </c>
      <c r="AE31" s="7">
        <f t="shared" si="43"/>
        <v>1</v>
      </c>
      <c r="AF31" s="7">
        <f t="shared" si="44"/>
        <v>1</v>
      </c>
      <c r="AG31" s="7">
        <f t="shared" si="45"/>
        <v>0</v>
      </c>
      <c r="AH31" s="12"/>
      <c r="AI31" s="14" t="s">
        <v>15</v>
      </c>
      <c r="AJ31" s="7">
        <v>5</v>
      </c>
      <c r="AK31" s="32" t="str">
        <f t="shared" si="46"/>
        <v>Not Completed</v>
      </c>
    </row>
    <row r="32" spans="2:37" ht="27" customHeight="1">
      <c r="B32" s="28">
        <v>25</v>
      </c>
      <c r="C32" s="29" t="s">
        <v>410</v>
      </c>
      <c r="D32" s="30" t="s">
        <v>88</v>
      </c>
      <c r="E32" s="4" t="s">
        <v>70</v>
      </c>
      <c r="F32" s="30" t="s">
        <v>473</v>
      </c>
      <c r="G32" s="7">
        <v>55</v>
      </c>
      <c r="H32" s="7" t="str">
        <f t="shared" si="47"/>
        <v>C</v>
      </c>
      <c r="I32" s="7">
        <v>55</v>
      </c>
      <c r="J32" s="7" t="str">
        <f t="shared" si="48"/>
        <v>C</v>
      </c>
      <c r="K32" s="7">
        <v>57</v>
      </c>
      <c r="L32" s="7" t="str">
        <f t="shared" si="49"/>
        <v>C</v>
      </c>
      <c r="M32" s="7">
        <v>60</v>
      </c>
      <c r="N32" s="7" t="str">
        <f t="shared" si="50"/>
        <v>C</v>
      </c>
      <c r="O32" s="7">
        <v>40</v>
      </c>
      <c r="P32" s="7" t="str">
        <f t="shared" si="51"/>
        <v>S</v>
      </c>
      <c r="Q32" s="7">
        <v>75</v>
      </c>
      <c r="R32" s="7" t="str">
        <f t="shared" si="52"/>
        <v>D</v>
      </c>
      <c r="S32" s="7">
        <v>76</v>
      </c>
      <c r="T32" s="7" t="str">
        <f t="shared" si="53"/>
        <v>D</v>
      </c>
      <c r="U32" s="7">
        <v>64</v>
      </c>
      <c r="V32" s="7" t="str">
        <f t="shared" si="54"/>
        <v>C</v>
      </c>
      <c r="W32" s="7">
        <v>80</v>
      </c>
      <c r="X32" s="7" t="str">
        <f t="shared" si="55"/>
        <v>D</v>
      </c>
      <c r="Y32" s="7">
        <v>46</v>
      </c>
      <c r="Z32" s="7" t="str">
        <f t="shared" si="40"/>
        <v>S</v>
      </c>
      <c r="AA32" s="7">
        <f t="shared" si="41"/>
        <v>608</v>
      </c>
      <c r="AB32" s="7" t="str">
        <f t="shared" si="42"/>
        <v>61%</v>
      </c>
      <c r="AC32" s="14" t="s">
        <v>454</v>
      </c>
      <c r="AD32" s="7"/>
      <c r="AE32" s="7">
        <f t="shared" si="43"/>
        <v>2</v>
      </c>
      <c r="AF32" s="7">
        <f t="shared" si="44"/>
        <v>0</v>
      </c>
      <c r="AG32" s="7">
        <f t="shared" si="45"/>
        <v>0</v>
      </c>
      <c r="AH32" s="12"/>
      <c r="AI32" s="14" t="str">
        <f>IF(AG32&gt;0, "Not Completed",
   IF(AC32=10, "First Class",
      IF(AB32&gt;75, IF(AE32&gt;0, "Ordinary Pass", "First Class"),
         IF(AB32&gt;65, IF(AE32&gt;0, "Ordinary Pass", "Second Class"),
            IF(AB32&lt;65, "Ordinary Pass", "")
         )
      )
   )
)</f>
        <v>Ordinary Pass</v>
      </c>
      <c r="AJ32" s="7"/>
      <c r="AK32" s="32" t="str">
        <f t="shared" si="46"/>
        <v>Not Completed</v>
      </c>
    </row>
    <row r="33" spans="2:37" ht="27" customHeight="1">
      <c r="B33" s="28">
        <v>26</v>
      </c>
      <c r="C33" s="29" t="s">
        <v>411</v>
      </c>
      <c r="D33" s="30">
        <v>200056903700</v>
      </c>
      <c r="E33" s="4" t="s">
        <v>71</v>
      </c>
      <c r="F33" s="30" t="s">
        <v>473</v>
      </c>
      <c r="G33" s="7">
        <v>31</v>
      </c>
      <c r="H33" s="7" t="str">
        <f t="shared" si="47"/>
        <v>F</v>
      </c>
      <c r="I33" s="7">
        <v>74</v>
      </c>
      <c r="J33" s="7" t="str">
        <f t="shared" si="48"/>
        <v>C</v>
      </c>
      <c r="K33" s="7">
        <v>64</v>
      </c>
      <c r="L33" s="7" t="str">
        <f t="shared" si="49"/>
        <v>C</v>
      </c>
      <c r="M33" s="7">
        <v>49</v>
      </c>
      <c r="N33" s="7" t="str">
        <f t="shared" si="50"/>
        <v>S</v>
      </c>
      <c r="O33" s="7">
        <v>34</v>
      </c>
      <c r="P33" s="7" t="str">
        <f t="shared" si="51"/>
        <v>F</v>
      </c>
      <c r="Q33" s="7">
        <v>52</v>
      </c>
      <c r="R33" s="7" t="str">
        <f t="shared" si="52"/>
        <v>S</v>
      </c>
      <c r="S33" s="7">
        <v>38</v>
      </c>
      <c r="T33" s="7" t="str">
        <f t="shared" si="53"/>
        <v>S</v>
      </c>
      <c r="U33" s="7">
        <v>41</v>
      </c>
      <c r="V33" s="7" t="str">
        <f t="shared" si="54"/>
        <v>S</v>
      </c>
      <c r="W33" s="7">
        <v>41</v>
      </c>
      <c r="X33" s="7" t="str">
        <f t="shared" si="55"/>
        <v>S</v>
      </c>
      <c r="Y33" s="7">
        <v>15</v>
      </c>
      <c r="Z33" s="7" t="str">
        <f t="shared" si="40"/>
        <v>F</v>
      </c>
      <c r="AA33" s="7">
        <f t="shared" si="41"/>
        <v>439</v>
      </c>
      <c r="AB33" s="7" t="str">
        <f t="shared" si="42"/>
        <v>44%</v>
      </c>
      <c r="AC33" s="14" t="s">
        <v>453</v>
      </c>
      <c r="AD33" s="7"/>
      <c r="AE33" s="7">
        <f t="shared" si="43"/>
        <v>5</v>
      </c>
      <c r="AF33" s="7">
        <f t="shared" si="44"/>
        <v>2</v>
      </c>
      <c r="AG33" s="7">
        <f t="shared" si="45"/>
        <v>0</v>
      </c>
      <c r="AH33" s="12"/>
      <c r="AI33" s="14" t="s">
        <v>453</v>
      </c>
      <c r="AJ33" s="7"/>
      <c r="AK33" s="32" t="str">
        <f t="shared" si="46"/>
        <v>Not Completed</v>
      </c>
    </row>
    <row r="34" spans="2:37" ht="27" customHeight="1">
      <c r="B34" s="28">
        <v>27</v>
      </c>
      <c r="C34" s="29" t="s">
        <v>89</v>
      </c>
      <c r="D34" s="30" t="s">
        <v>90</v>
      </c>
      <c r="E34" s="4" t="s">
        <v>72</v>
      </c>
      <c r="F34" s="30" t="s">
        <v>473</v>
      </c>
      <c r="G34" s="7">
        <v>38</v>
      </c>
      <c r="H34" s="7" t="str">
        <f t="shared" si="47"/>
        <v>S</v>
      </c>
      <c r="I34" s="7">
        <v>67</v>
      </c>
      <c r="J34" s="7" t="str">
        <f t="shared" si="48"/>
        <v>C</v>
      </c>
      <c r="K34" s="7">
        <v>50</v>
      </c>
      <c r="L34" s="7" t="str">
        <f t="shared" si="49"/>
        <v>S</v>
      </c>
      <c r="M34" s="7">
        <v>43</v>
      </c>
      <c r="N34" s="7" t="str">
        <f t="shared" si="50"/>
        <v>S</v>
      </c>
      <c r="O34" s="7">
        <v>31</v>
      </c>
      <c r="P34" s="7" t="str">
        <f t="shared" si="51"/>
        <v>F</v>
      </c>
      <c r="Q34" s="7">
        <v>26</v>
      </c>
      <c r="R34" s="7" t="str">
        <f t="shared" si="52"/>
        <v>F</v>
      </c>
      <c r="S34" s="7">
        <v>45</v>
      </c>
      <c r="T34" s="7" t="str">
        <f t="shared" si="53"/>
        <v>S</v>
      </c>
      <c r="U34" s="7">
        <v>44</v>
      </c>
      <c r="V34" s="7" t="str">
        <f t="shared" si="54"/>
        <v>S</v>
      </c>
      <c r="W34" s="7">
        <v>48</v>
      </c>
      <c r="X34" s="7" t="str">
        <f t="shared" si="55"/>
        <v>S</v>
      </c>
      <c r="Y34" s="7">
        <v>15</v>
      </c>
      <c r="Z34" s="7" t="str">
        <f t="shared" si="40"/>
        <v>F</v>
      </c>
      <c r="AA34" s="7">
        <f t="shared" si="41"/>
        <v>407</v>
      </c>
      <c r="AB34" s="7" t="str">
        <f t="shared" si="42"/>
        <v>41%</v>
      </c>
      <c r="AC34" s="14" t="s">
        <v>453</v>
      </c>
      <c r="AD34" s="7"/>
      <c r="AE34" s="7">
        <f t="shared" si="43"/>
        <v>5</v>
      </c>
      <c r="AF34" s="7">
        <f t="shared" si="44"/>
        <v>3</v>
      </c>
      <c r="AG34" s="7">
        <f t="shared" si="45"/>
        <v>0</v>
      </c>
      <c r="AH34" s="12"/>
      <c r="AI34" s="14" t="s">
        <v>453</v>
      </c>
      <c r="AJ34" s="7"/>
      <c r="AK34" s="32" t="str">
        <f t="shared" si="46"/>
        <v>Not Completed</v>
      </c>
    </row>
    <row r="35" spans="2:37" ht="27" customHeight="1">
      <c r="B35" s="28">
        <v>28</v>
      </c>
      <c r="C35" s="29" t="s">
        <v>412</v>
      </c>
      <c r="D35" s="30" t="s">
        <v>91</v>
      </c>
      <c r="E35" s="4" t="s">
        <v>73</v>
      </c>
      <c r="F35" s="30" t="s">
        <v>473</v>
      </c>
      <c r="G35" s="7">
        <v>57</v>
      </c>
      <c r="H35" s="7" t="str">
        <f t="shared" si="47"/>
        <v>C</v>
      </c>
      <c r="I35" s="7">
        <v>53</v>
      </c>
      <c r="J35" s="7" t="str">
        <f t="shared" si="48"/>
        <v>S</v>
      </c>
      <c r="K35" s="7">
        <v>65</v>
      </c>
      <c r="L35" s="7" t="str">
        <f t="shared" si="49"/>
        <v>C</v>
      </c>
      <c r="M35" s="7">
        <v>54</v>
      </c>
      <c r="N35" s="7" t="str">
        <f t="shared" si="50"/>
        <v>S</v>
      </c>
      <c r="O35" s="7">
        <v>47</v>
      </c>
      <c r="P35" s="7" t="str">
        <f t="shared" si="51"/>
        <v>S</v>
      </c>
      <c r="Q35" s="7">
        <v>71</v>
      </c>
      <c r="R35" s="7" t="str">
        <f t="shared" si="52"/>
        <v>C</v>
      </c>
      <c r="S35" s="7">
        <v>72</v>
      </c>
      <c r="T35" s="7" t="str">
        <f t="shared" si="53"/>
        <v>C</v>
      </c>
      <c r="U35" s="7">
        <v>69</v>
      </c>
      <c r="V35" s="7" t="str">
        <f t="shared" si="54"/>
        <v>C</v>
      </c>
      <c r="W35" s="7">
        <v>55</v>
      </c>
      <c r="X35" s="7" t="str">
        <f t="shared" si="55"/>
        <v>C</v>
      </c>
      <c r="Y35" s="7">
        <v>46</v>
      </c>
      <c r="Z35" s="7" t="str">
        <f t="shared" si="40"/>
        <v>S</v>
      </c>
      <c r="AA35" s="7">
        <f t="shared" si="41"/>
        <v>589</v>
      </c>
      <c r="AB35" s="7" t="str">
        <f t="shared" si="42"/>
        <v>59%</v>
      </c>
      <c r="AC35" s="14" t="s">
        <v>454</v>
      </c>
      <c r="AD35" s="7"/>
      <c r="AE35" s="7">
        <f t="shared" si="43"/>
        <v>4</v>
      </c>
      <c r="AF35" s="7">
        <f t="shared" si="44"/>
        <v>0</v>
      </c>
      <c r="AG35" s="7">
        <f t="shared" si="45"/>
        <v>0</v>
      </c>
      <c r="AH35" s="12"/>
      <c r="AI35" s="14" t="str">
        <f>IF(AG35&gt;0, "Not Completed",
   IF(AC35=10, "First Class",
      IF(AB35&gt;75, IF(AE35&gt;0, "Ordinary Pass", "First Class"),
         IF(AB35&gt;65, IF(AE35&gt;0, "Ordinary Pass", "Second Class"),
            IF(AB35&lt;65, "Ordinary Pass", "")
         )
      )
   )
)</f>
        <v>Ordinary Pass</v>
      </c>
      <c r="AJ35" s="7"/>
      <c r="AK35" s="32" t="str">
        <f t="shared" si="46"/>
        <v>Not Completed</v>
      </c>
    </row>
    <row r="36" spans="2:37" ht="27" customHeight="1">
      <c r="B36" s="28">
        <v>29</v>
      </c>
      <c r="C36" s="29" t="s">
        <v>413</v>
      </c>
      <c r="D36" s="30">
        <v>198553002829</v>
      </c>
      <c r="E36" s="4" t="s">
        <v>74</v>
      </c>
      <c r="F36" s="30" t="s">
        <v>473</v>
      </c>
      <c r="G36" s="7">
        <v>43</v>
      </c>
      <c r="H36" s="7" t="str">
        <f t="shared" si="47"/>
        <v>S</v>
      </c>
      <c r="I36" s="7">
        <v>66</v>
      </c>
      <c r="J36" s="7" t="str">
        <f t="shared" si="48"/>
        <v>C</v>
      </c>
      <c r="K36" s="7">
        <v>60</v>
      </c>
      <c r="L36" s="7" t="str">
        <f t="shared" si="49"/>
        <v>C</v>
      </c>
      <c r="M36" s="7">
        <v>41</v>
      </c>
      <c r="N36" s="7" t="str">
        <f t="shared" si="50"/>
        <v>S</v>
      </c>
      <c r="O36" s="7">
        <v>33</v>
      </c>
      <c r="P36" s="7" t="str">
        <f t="shared" si="51"/>
        <v>F</v>
      </c>
      <c r="Q36" s="7">
        <v>32</v>
      </c>
      <c r="R36" s="7" t="str">
        <f t="shared" si="52"/>
        <v>F</v>
      </c>
      <c r="S36" s="7">
        <v>44</v>
      </c>
      <c r="T36" s="7" t="str">
        <f t="shared" si="53"/>
        <v>S</v>
      </c>
      <c r="U36" s="7">
        <v>52</v>
      </c>
      <c r="V36" s="7" t="str">
        <f t="shared" si="54"/>
        <v>S</v>
      </c>
      <c r="W36" s="7">
        <v>57</v>
      </c>
      <c r="X36" s="7" t="str">
        <f t="shared" si="55"/>
        <v>C</v>
      </c>
      <c r="Y36" s="7">
        <v>52</v>
      </c>
      <c r="Z36" s="7" t="str">
        <f t="shared" si="40"/>
        <v>S</v>
      </c>
      <c r="AA36" s="7">
        <f t="shared" si="41"/>
        <v>480</v>
      </c>
      <c r="AB36" s="7" t="str">
        <f t="shared" si="42"/>
        <v>48%</v>
      </c>
      <c r="AC36" s="14" t="s">
        <v>15</v>
      </c>
      <c r="AD36" s="7" t="s">
        <v>458</v>
      </c>
      <c r="AE36" s="7">
        <f t="shared" si="43"/>
        <v>4</v>
      </c>
      <c r="AF36" s="7">
        <f t="shared" si="44"/>
        <v>2</v>
      </c>
      <c r="AG36" s="7">
        <f t="shared" si="45"/>
        <v>0</v>
      </c>
      <c r="AH36" s="12"/>
      <c r="AI36" s="14" t="s">
        <v>15</v>
      </c>
      <c r="AJ36" s="7" t="s">
        <v>458</v>
      </c>
      <c r="AK36" s="32" t="str">
        <f t="shared" si="46"/>
        <v>Not Completed</v>
      </c>
    </row>
    <row r="37" spans="2:37" ht="27" customHeight="1">
      <c r="B37" s="28">
        <v>30</v>
      </c>
      <c r="C37" s="29" t="s">
        <v>414</v>
      </c>
      <c r="D37" s="30" t="s">
        <v>92</v>
      </c>
      <c r="E37" s="4" t="s">
        <v>75</v>
      </c>
      <c r="F37" s="30" t="s">
        <v>473</v>
      </c>
      <c r="G37" s="7">
        <v>66</v>
      </c>
      <c r="H37" s="7" t="str">
        <f t="shared" si="47"/>
        <v>C</v>
      </c>
      <c r="I37" s="7">
        <v>89</v>
      </c>
      <c r="J37" s="7" t="str">
        <f t="shared" si="48"/>
        <v>D</v>
      </c>
      <c r="K37" s="7">
        <v>80</v>
      </c>
      <c r="L37" s="7" t="str">
        <f t="shared" si="49"/>
        <v>D</v>
      </c>
      <c r="M37" s="7">
        <v>84</v>
      </c>
      <c r="N37" s="7" t="str">
        <f t="shared" si="50"/>
        <v>D</v>
      </c>
      <c r="O37" s="7">
        <v>56</v>
      </c>
      <c r="P37" s="7" t="str">
        <f t="shared" si="51"/>
        <v>C</v>
      </c>
      <c r="Q37" s="7">
        <v>70</v>
      </c>
      <c r="R37" s="7" t="str">
        <f t="shared" si="52"/>
        <v>C</v>
      </c>
      <c r="S37" s="7">
        <v>71</v>
      </c>
      <c r="T37" s="7" t="str">
        <f t="shared" si="53"/>
        <v>C</v>
      </c>
      <c r="U37" s="7">
        <v>54</v>
      </c>
      <c r="V37" s="7" t="str">
        <f t="shared" si="54"/>
        <v>S</v>
      </c>
      <c r="W37" s="7">
        <v>74</v>
      </c>
      <c r="X37" s="7" t="str">
        <f t="shared" si="55"/>
        <v>C</v>
      </c>
      <c r="Y37" s="7">
        <v>82</v>
      </c>
      <c r="Z37" s="7" t="str">
        <f t="shared" si="40"/>
        <v>D</v>
      </c>
      <c r="AA37" s="7">
        <f t="shared" si="41"/>
        <v>726</v>
      </c>
      <c r="AB37" s="7" t="str">
        <f t="shared" si="42"/>
        <v>73%</v>
      </c>
      <c r="AC37" s="14" t="s">
        <v>454</v>
      </c>
      <c r="AD37" s="7"/>
      <c r="AE37" s="7">
        <f t="shared" si="43"/>
        <v>1</v>
      </c>
      <c r="AF37" s="7">
        <f t="shared" si="44"/>
        <v>0</v>
      </c>
      <c r="AG37" s="7">
        <f t="shared" si="45"/>
        <v>0</v>
      </c>
      <c r="AH37" s="12"/>
      <c r="AI37" s="14" t="str">
        <f>IF(AG37&gt;0, "Not Completed",
   IF(AC37=10, "First Class",
      IF(AB37&gt;75, IF(AE37&gt;0, "Ordinary Pass", "First Class"),
         IF(AB37&gt;65, IF(AE37&gt;0, "Ordinary Pass", "Second Class"),
            IF(AB37&lt;65, "Ordinary Pass", "")
         )
      )
   )
)</f>
        <v>Ordinary Pass</v>
      </c>
      <c r="AJ37" s="7"/>
      <c r="AK37" s="32" t="str">
        <f t="shared" si="46"/>
        <v>Not Completed</v>
      </c>
    </row>
    <row r="38" spans="2:37" ht="27" customHeight="1">
      <c r="B38" s="28">
        <v>31</v>
      </c>
      <c r="C38" s="29" t="s">
        <v>93</v>
      </c>
      <c r="D38" s="30" t="s">
        <v>94</v>
      </c>
      <c r="E38" s="4" t="s">
        <v>76</v>
      </c>
      <c r="F38" s="30" t="s">
        <v>473</v>
      </c>
      <c r="G38" s="7">
        <v>51</v>
      </c>
      <c r="H38" s="7" t="str">
        <f t="shared" si="47"/>
        <v>S</v>
      </c>
      <c r="I38" s="7">
        <v>76</v>
      </c>
      <c r="J38" s="7" t="str">
        <f t="shared" si="48"/>
        <v>D</v>
      </c>
      <c r="K38" s="7">
        <v>68</v>
      </c>
      <c r="L38" s="7" t="str">
        <f t="shared" si="49"/>
        <v>C</v>
      </c>
      <c r="M38" s="7">
        <v>49</v>
      </c>
      <c r="N38" s="7" t="str">
        <f t="shared" si="50"/>
        <v>S</v>
      </c>
      <c r="O38" s="7">
        <v>40</v>
      </c>
      <c r="P38" s="7" t="str">
        <f t="shared" si="51"/>
        <v>S</v>
      </c>
      <c r="Q38" s="7">
        <v>43</v>
      </c>
      <c r="R38" s="7" t="str">
        <f t="shared" si="52"/>
        <v>S</v>
      </c>
      <c r="S38" s="7">
        <v>69</v>
      </c>
      <c r="T38" s="7" t="str">
        <f t="shared" si="53"/>
        <v>C</v>
      </c>
      <c r="U38" s="7">
        <v>70</v>
      </c>
      <c r="V38" s="7" t="str">
        <f t="shared" si="54"/>
        <v>C</v>
      </c>
      <c r="W38" s="7">
        <v>72</v>
      </c>
      <c r="X38" s="7" t="str">
        <f t="shared" si="55"/>
        <v>C</v>
      </c>
      <c r="Y38" s="7">
        <v>41</v>
      </c>
      <c r="Z38" s="7" t="str">
        <f t="shared" si="40"/>
        <v>S</v>
      </c>
      <c r="AA38" s="7">
        <f t="shared" si="41"/>
        <v>579</v>
      </c>
      <c r="AB38" s="7" t="str">
        <f t="shared" si="42"/>
        <v>58%</v>
      </c>
      <c r="AC38" s="14" t="s">
        <v>454</v>
      </c>
      <c r="AD38" s="7"/>
      <c r="AE38" s="7">
        <f t="shared" si="43"/>
        <v>4</v>
      </c>
      <c r="AF38" s="7">
        <f t="shared" si="44"/>
        <v>0</v>
      </c>
      <c r="AG38" s="7">
        <f t="shared" si="45"/>
        <v>0</v>
      </c>
      <c r="AH38" s="12"/>
      <c r="AI38" s="14" t="str">
        <f>IF(AG38&gt;0, "Not Completed",
   IF(AC38=10, "First Class",
      IF(AB38&gt;75, IF(AE38&gt;0, "Ordinary Pass", "First Class"),
         IF(AB38&gt;65, IF(AE38&gt;0, "Ordinary Pass", "Second Class"),
            IF(AB38&lt;65, "Ordinary Pass", "")
         )
      )
   )
)</f>
        <v>Ordinary Pass</v>
      </c>
      <c r="AJ38" s="7"/>
      <c r="AK38" s="32" t="str">
        <f t="shared" si="46"/>
        <v>Not Completed</v>
      </c>
    </row>
    <row r="39" spans="2:37" ht="27" customHeight="1">
      <c r="B39" s="28">
        <v>32</v>
      </c>
      <c r="C39" s="29" t="s">
        <v>415</v>
      </c>
      <c r="D39" s="30">
        <v>198869600646</v>
      </c>
      <c r="E39" s="4" t="s">
        <v>77</v>
      </c>
      <c r="F39" s="30" t="s">
        <v>473</v>
      </c>
      <c r="G39" s="7">
        <v>47</v>
      </c>
      <c r="H39" s="7" t="str">
        <f t="shared" si="47"/>
        <v>S</v>
      </c>
      <c r="I39" s="7">
        <v>58</v>
      </c>
      <c r="J39" s="7" t="str">
        <f t="shared" si="48"/>
        <v>C</v>
      </c>
      <c r="K39" s="7">
        <v>51</v>
      </c>
      <c r="L39" s="7" t="str">
        <f t="shared" si="49"/>
        <v>S</v>
      </c>
      <c r="M39" s="7">
        <v>48</v>
      </c>
      <c r="N39" s="7" t="str">
        <f t="shared" si="50"/>
        <v>S</v>
      </c>
      <c r="O39" s="7">
        <v>42</v>
      </c>
      <c r="P39" s="7" t="str">
        <f t="shared" si="51"/>
        <v>S</v>
      </c>
      <c r="Q39" s="7">
        <v>39</v>
      </c>
      <c r="R39" s="7" t="str">
        <f t="shared" si="52"/>
        <v>S</v>
      </c>
      <c r="S39" s="7">
        <v>58</v>
      </c>
      <c r="T39" s="7" t="str">
        <f t="shared" si="53"/>
        <v>C</v>
      </c>
      <c r="U39" s="7">
        <v>56</v>
      </c>
      <c r="V39" s="7" t="str">
        <f t="shared" si="54"/>
        <v>C</v>
      </c>
      <c r="W39" s="7">
        <v>52</v>
      </c>
      <c r="X39" s="7" t="str">
        <f t="shared" si="55"/>
        <v>S</v>
      </c>
      <c r="Y39" s="7">
        <v>15</v>
      </c>
      <c r="Z39" s="7" t="str">
        <f t="shared" si="40"/>
        <v>F</v>
      </c>
      <c r="AA39" s="7">
        <f t="shared" si="41"/>
        <v>466</v>
      </c>
      <c r="AB39" s="7" t="str">
        <f t="shared" si="42"/>
        <v>47%</v>
      </c>
      <c r="AC39" s="14" t="s">
        <v>15</v>
      </c>
      <c r="AD39" s="7">
        <v>10</v>
      </c>
      <c r="AE39" s="7">
        <f t="shared" si="43"/>
        <v>5</v>
      </c>
      <c r="AF39" s="7">
        <f t="shared" si="44"/>
        <v>1</v>
      </c>
      <c r="AG39" s="7">
        <f t="shared" si="45"/>
        <v>0</v>
      </c>
      <c r="AH39" s="12"/>
      <c r="AI39" s="14" t="s">
        <v>15</v>
      </c>
      <c r="AJ39" s="7">
        <v>10</v>
      </c>
      <c r="AK39" s="32" t="str">
        <f t="shared" si="46"/>
        <v>Not Completed</v>
      </c>
    </row>
    <row r="40" spans="2:37" ht="27" customHeight="1">
      <c r="B40" s="28">
        <v>33</v>
      </c>
      <c r="C40" s="29" t="s">
        <v>416</v>
      </c>
      <c r="D40" s="30">
        <v>200086401833</v>
      </c>
      <c r="E40" s="4" t="s">
        <v>78</v>
      </c>
      <c r="F40" s="30" t="s">
        <v>473</v>
      </c>
      <c r="G40" s="7">
        <v>58</v>
      </c>
      <c r="H40" s="7" t="str">
        <f t="shared" si="47"/>
        <v>C</v>
      </c>
      <c r="I40" s="7">
        <v>85</v>
      </c>
      <c r="J40" s="7" t="str">
        <f t="shared" si="48"/>
        <v>D</v>
      </c>
      <c r="K40" s="7">
        <v>74</v>
      </c>
      <c r="L40" s="7" t="str">
        <f t="shared" si="49"/>
        <v>C</v>
      </c>
      <c r="M40" s="7">
        <v>55</v>
      </c>
      <c r="N40" s="7" t="str">
        <f t="shared" si="50"/>
        <v>C</v>
      </c>
      <c r="O40" s="7">
        <v>42</v>
      </c>
      <c r="P40" s="7" t="str">
        <f t="shared" si="51"/>
        <v>S</v>
      </c>
      <c r="Q40" s="7">
        <v>78</v>
      </c>
      <c r="R40" s="7" t="str">
        <f t="shared" si="52"/>
        <v>D</v>
      </c>
      <c r="S40" s="7">
        <v>84</v>
      </c>
      <c r="T40" s="7" t="str">
        <f t="shared" si="53"/>
        <v>D</v>
      </c>
      <c r="U40" s="7">
        <v>62</v>
      </c>
      <c r="V40" s="7" t="str">
        <f t="shared" si="54"/>
        <v>C</v>
      </c>
      <c r="W40" s="7">
        <v>82</v>
      </c>
      <c r="X40" s="7" t="str">
        <f t="shared" si="55"/>
        <v>D</v>
      </c>
      <c r="Y40" s="7">
        <v>21</v>
      </c>
      <c r="Z40" s="7" t="str">
        <f t="shared" si="40"/>
        <v>F</v>
      </c>
      <c r="AA40" s="7">
        <f t="shared" si="41"/>
        <v>641</v>
      </c>
      <c r="AB40" s="7" t="str">
        <f t="shared" si="42"/>
        <v>64%</v>
      </c>
      <c r="AC40" s="14" t="s">
        <v>15</v>
      </c>
      <c r="AD40" s="7">
        <v>10</v>
      </c>
      <c r="AE40" s="7">
        <f t="shared" si="43"/>
        <v>1</v>
      </c>
      <c r="AF40" s="7">
        <f t="shared" si="44"/>
        <v>1</v>
      </c>
      <c r="AG40" s="7">
        <f t="shared" si="45"/>
        <v>0</v>
      </c>
      <c r="AH40" s="12"/>
      <c r="AI40" s="14" t="s">
        <v>15</v>
      </c>
      <c r="AJ40" s="7">
        <v>10</v>
      </c>
      <c r="AK40" s="32" t="str">
        <f t="shared" si="46"/>
        <v>Not Completed</v>
      </c>
    </row>
    <row r="41" spans="2:37" ht="27" customHeight="1">
      <c r="B41" s="28">
        <v>34</v>
      </c>
      <c r="C41" s="29" t="s">
        <v>95</v>
      </c>
      <c r="D41" s="30" t="s">
        <v>96</v>
      </c>
      <c r="E41" s="4" t="s">
        <v>79</v>
      </c>
      <c r="F41" s="30" t="s">
        <v>473</v>
      </c>
      <c r="G41" s="7">
        <v>44</v>
      </c>
      <c r="H41" s="7" t="str">
        <f t="shared" si="47"/>
        <v>S</v>
      </c>
      <c r="I41" s="7">
        <v>85</v>
      </c>
      <c r="J41" s="7" t="str">
        <f t="shared" si="48"/>
        <v>D</v>
      </c>
      <c r="K41" s="7">
        <v>82</v>
      </c>
      <c r="L41" s="7" t="str">
        <f t="shared" si="49"/>
        <v>D</v>
      </c>
      <c r="M41" s="7">
        <v>78</v>
      </c>
      <c r="N41" s="7" t="str">
        <f t="shared" si="50"/>
        <v>D</v>
      </c>
      <c r="O41" s="7">
        <v>45</v>
      </c>
      <c r="P41" s="7" t="str">
        <f t="shared" si="51"/>
        <v>S</v>
      </c>
      <c r="Q41" s="7">
        <v>85</v>
      </c>
      <c r="R41" s="7" t="str">
        <f t="shared" si="52"/>
        <v>D</v>
      </c>
      <c r="S41" s="7">
        <v>87</v>
      </c>
      <c r="T41" s="7" t="str">
        <f t="shared" si="53"/>
        <v>D</v>
      </c>
      <c r="U41" s="7">
        <v>84</v>
      </c>
      <c r="V41" s="7" t="str">
        <f t="shared" si="54"/>
        <v>D</v>
      </c>
      <c r="W41" s="7">
        <v>74</v>
      </c>
      <c r="X41" s="7" t="str">
        <f t="shared" si="55"/>
        <v>C</v>
      </c>
      <c r="Y41" s="7">
        <v>52</v>
      </c>
      <c r="Z41" s="7" t="str">
        <f t="shared" si="40"/>
        <v>S</v>
      </c>
      <c r="AA41" s="7">
        <f t="shared" si="41"/>
        <v>716</v>
      </c>
      <c r="AB41" s="7" t="str">
        <f t="shared" si="42"/>
        <v>72%</v>
      </c>
      <c r="AC41" s="14" t="s">
        <v>454</v>
      </c>
      <c r="AD41" s="7"/>
      <c r="AE41" s="7">
        <f t="shared" si="43"/>
        <v>2</v>
      </c>
      <c r="AF41" s="7">
        <f t="shared" si="44"/>
        <v>0</v>
      </c>
      <c r="AG41" s="7">
        <f t="shared" si="45"/>
        <v>0</v>
      </c>
      <c r="AH41" s="12"/>
      <c r="AI41" s="14" t="str">
        <f>IF(AG41&gt;0, "Not Completed",
   IF(AC41=10, "First Class",
      IF(AB41&gt;75, IF(AE41&gt;0, "Ordinary Pass", "First Class"),
         IF(AB41&gt;65, IF(AE41&gt;0, "Ordinary Pass", "Second Class"),
            IF(AB41&lt;65, "Ordinary Pass", "")
         )
      )
   )
)</f>
        <v>Ordinary Pass</v>
      </c>
      <c r="AJ41" s="7"/>
      <c r="AK41" s="32" t="str">
        <f t="shared" si="46"/>
        <v>Not Completed</v>
      </c>
    </row>
    <row r="42" spans="2:37" ht="27" customHeight="1">
      <c r="B42" s="28">
        <v>35</v>
      </c>
      <c r="C42" s="29" t="s">
        <v>97</v>
      </c>
      <c r="D42" s="30">
        <v>198068102110</v>
      </c>
      <c r="E42" s="4" t="s">
        <v>80</v>
      </c>
      <c r="F42" s="30" t="s">
        <v>473</v>
      </c>
      <c r="G42" s="7">
        <v>47</v>
      </c>
      <c r="H42" s="7" t="str">
        <f>IF(G42="-", "Absent", IF(G42&gt;=75, "D", IF(G42&gt;=55, "C", IF(G42&gt;=35, "S", IF(G42&gt;=0, "F")))))</f>
        <v>S</v>
      </c>
      <c r="I42" s="7">
        <v>53</v>
      </c>
      <c r="J42" s="7" t="str">
        <f>IF(I42="-", "Absent", IF(I42&gt;=75, "D", IF(I42&gt;=55, "C", IF(I42&gt;=35, "S", IF(I42&gt;=0, "F")))))</f>
        <v>S</v>
      </c>
      <c r="K42" s="7">
        <v>65</v>
      </c>
      <c r="L42" s="7" t="str">
        <f>IF(K42="-", "Absent", IF(K42&gt;=75, "D", IF(K42&gt;=55, "C", IF(K42&gt;=35, "S", IF(K42&gt;=0, "F")))))</f>
        <v>C</v>
      </c>
      <c r="M42" s="7">
        <v>67</v>
      </c>
      <c r="N42" s="7" t="str">
        <f>IF(M42="-", "Absent", IF(M42&gt;=75, "D", IF(M42&gt;=55, "C", IF(M42&gt;=35, "S", IF(M42&gt;=0, "F")))))</f>
        <v>C</v>
      </c>
      <c r="O42" s="7">
        <v>45</v>
      </c>
      <c r="P42" s="7" t="str">
        <f>IF(O42="-", "Absent", IF(O42&gt;=75, "D", IF(O42&gt;=55, "C", IF(O42&gt;=35, "S", IF(O42&gt;=0, "F")))))</f>
        <v>S</v>
      </c>
      <c r="Q42" s="7">
        <v>33</v>
      </c>
      <c r="R42" s="7" t="str">
        <f>IF(Q42="-", "Absent", IF(Q42&gt;=75, "D", IF(Q42&gt;=55, "C", IF(Q42&gt;=35, "S", IF(Q42&gt;=0, "F")))))</f>
        <v>F</v>
      </c>
      <c r="S42" s="7">
        <v>42</v>
      </c>
      <c r="T42" s="7" t="str">
        <f>IF(S42="-", "Absent", IF(S42&gt;=75, "D", IF(S42&gt;=55, "C", IF(S42&gt;=35, "S", IF(S42&gt;=0, "F")))))</f>
        <v>S</v>
      </c>
      <c r="U42" s="7">
        <v>58</v>
      </c>
      <c r="V42" s="7" t="str">
        <f>IF(U42="-", "Absent", IF(U42&gt;=75, "D", IF(U42&gt;=55, "C", IF(U42&gt;=35, "S", IF(U42&gt;=0, "F")))))</f>
        <v>C</v>
      </c>
      <c r="W42" s="7">
        <v>53</v>
      </c>
      <c r="X42" s="7" t="str">
        <f>IF(W42="-", "Absent", IF(W42&gt;=75, "D", IF(W42&gt;=55, "C", IF(W42&gt;=35, "S", IF(W42&gt;=0, "F")))))</f>
        <v>S</v>
      </c>
      <c r="Y42" s="7">
        <v>44</v>
      </c>
      <c r="Z42" s="7" t="str">
        <f>IF(Y42="-", "AB", IF(Y42&gt;=75, "D", IF(Y42&gt;=55, "C", IF(Y42&gt;=35, "S", IF(Y42&gt;=0, "F")))))</f>
        <v>S</v>
      </c>
      <c r="AA42" s="7">
        <f>SUMIF(G42:Z42, "&lt;&gt;AB")</f>
        <v>507</v>
      </c>
      <c r="AB42" s="7" t="str">
        <f>ROUND(AA42/10, 0)&amp;"%"</f>
        <v>51%</v>
      </c>
      <c r="AC42" s="14" t="s">
        <v>15</v>
      </c>
      <c r="AD42" s="7">
        <v>6</v>
      </c>
      <c r="AE42" s="7">
        <f t="shared" si="43"/>
        <v>5</v>
      </c>
      <c r="AF42" s="7">
        <f t="shared" si="44"/>
        <v>1</v>
      </c>
      <c r="AG42" s="7">
        <f t="shared" si="45"/>
        <v>0</v>
      </c>
      <c r="AH42" s="12"/>
      <c r="AI42" s="14" t="s">
        <v>15</v>
      </c>
      <c r="AJ42" s="7">
        <v>6</v>
      </c>
      <c r="AK42" s="32" t="str">
        <f t="shared" si="46"/>
        <v>Not Completed</v>
      </c>
    </row>
    <row r="43" spans="2:37" ht="27" customHeight="1">
      <c r="B43" s="28">
        <v>36</v>
      </c>
      <c r="C43" s="29" t="s">
        <v>98</v>
      </c>
      <c r="D43" s="30" t="s">
        <v>99</v>
      </c>
      <c r="E43" s="4" t="s">
        <v>81</v>
      </c>
      <c r="F43" s="30" t="s">
        <v>473</v>
      </c>
      <c r="G43" s="7" t="s">
        <v>6</v>
      </c>
      <c r="H43" s="7" t="str">
        <f>IF(G43="-", "AB", IF(G43&gt;=75, "D", IF(G43&gt;=55, "C", IF(G43&gt;=35, "S", IF(G43&gt;=0, "F")))))</f>
        <v>AB</v>
      </c>
      <c r="I43" s="7" t="s">
        <v>6</v>
      </c>
      <c r="J43" s="7" t="str">
        <f t="shared" ref="J43" si="56">IF(I43="-", "AB", IF(I43&gt;=75, "D", IF(I43&gt;=55, "C", IF(I43&gt;=35, "S", IF(I43&gt;=0, "F")))))</f>
        <v>AB</v>
      </c>
      <c r="K43" s="7" t="s">
        <v>6</v>
      </c>
      <c r="L43" s="7" t="str">
        <f t="shared" ref="L43" si="57">IF(K43="-", "AB", IF(K43&gt;=75, "D", IF(K43&gt;=55, "C", IF(K43&gt;=35, "S", IF(K43&gt;=0, "F")))))</f>
        <v>AB</v>
      </c>
      <c r="M43" s="7" t="s">
        <v>6</v>
      </c>
      <c r="N43" s="7" t="str">
        <f t="shared" ref="N43" si="58">IF(M43="-", "AB", IF(M43&gt;=75, "D", IF(M43&gt;=55, "C", IF(M43&gt;=35, "S", IF(M43&gt;=0, "F")))))</f>
        <v>AB</v>
      </c>
      <c r="O43" s="7" t="s">
        <v>6</v>
      </c>
      <c r="P43" s="7" t="str">
        <f t="shared" ref="P43" si="59">IF(O43="-", "AB", IF(O43&gt;=75, "D", IF(O43&gt;=55, "C", IF(O43&gt;=35, "S", IF(O43&gt;=0, "F")))))</f>
        <v>AB</v>
      </c>
      <c r="Q43" s="7" t="s">
        <v>6</v>
      </c>
      <c r="R43" s="7" t="str">
        <f t="shared" ref="R43" si="60">IF(Q43="-", "AB", IF(Q43&gt;=75, "D", IF(Q43&gt;=55, "C", IF(Q43&gt;=35, "S", IF(Q43&gt;=0, "F")))))</f>
        <v>AB</v>
      </c>
      <c r="S43" s="7" t="s">
        <v>6</v>
      </c>
      <c r="T43" s="7" t="str">
        <f t="shared" ref="T43" si="61">IF(S43="-", "AB", IF(S43&gt;=75, "D", IF(S43&gt;=55, "C", IF(S43&gt;=35, "S", IF(S43&gt;=0, "F")))))</f>
        <v>AB</v>
      </c>
      <c r="U43" s="7" t="s">
        <v>6</v>
      </c>
      <c r="V43" s="7" t="str">
        <f t="shared" ref="V43" si="62">IF(U43="-", "AB", IF(U43&gt;=75, "D", IF(U43&gt;=55, "C", IF(U43&gt;=35, "S", IF(U43&gt;=0, "F")))))</f>
        <v>AB</v>
      </c>
      <c r="W43" s="7" t="s">
        <v>6</v>
      </c>
      <c r="X43" s="7" t="str">
        <f t="shared" ref="X43" si="63">IF(W43="-", "AB", IF(W43&gt;=75, "D", IF(W43&gt;=55, "C", IF(W43&gt;=35, "S", IF(W43&gt;=0, "F")))))</f>
        <v>AB</v>
      </c>
      <c r="Y43" s="7" t="s">
        <v>6</v>
      </c>
      <c r="Z43" s="7" t="str">
        <f t="shared" ref="Z43:Z44" si="64">IF(Y43="-", "AB", IF(Y43&gt;=75, "D", IF(Y43&gt;=55, "C", IF(Y43&gt;=35, "S", IF(Y43&gt;=0, "F")))))</f>
        <v>AB</v>
      </c>
      <c r="AA43" s="7">
        <f t="shared" ref="AA43:AA58" si="65">SUMIF(G43:Z43, "&lt;&gt;AB")</f>
        <v>0</v>
      </c>
      <c r="AB43" s="7" t="str">
        <f t="shared" ref="AB43:AB58" si="66">ROUND(AA43/10, 0)&amp;"%"</f>
        <v>0%</v>
      </c>
      <c r="AC43" s="14" t="s">
        <v>403</v>
      </c>
      <c r="AD43" s="7"/>
      <c r="AE43" s="7">
        <f t="shared" si="43"/>
        <v>0</v>
      </c>
      <c r="AF43" s="7">
        <f t="shared" si="44"/>
        <v>0</v>
      </c>
      <c r="AG43" s="7">
        <f t="shared" si="45"/>
        <v>10</v>
      </c>
      <c r="AH43" s="12"/>
      <c r="AI43" s="14" t="s">
        <v>403</v>
      </c>
      <c r="AJ43" s="7"/>
      <c r="AK43" s="32" t="str">
        <f t="shared" si="46"/>
        <v>Not Completed</v>
      </c>
    </row>
    <row r="44" spans="2:37" ht="27" customHeight="1">
      <c r="B44" s="28">
        <v>37</v>
      </c>
      <c r="C44" s="29" t="s">
        <v>100</v>
      </c>
      <c r="D44" s="30" t="s">
        <v>101</v>
      </c>
      <c r="E44" s="4" t="s">
        <v>82</v>
      </c>
      <c r="F44" s="30" t="s">
        <v>473</v>
      </c>
      <c r="G44" s="7">
        <v>45</v>
      </c>
      <c r="H44" s="7" t="str">
        <f t="shared" ref="H44" si="67">IF(G44="-", "Absent", IF(G44&gt;=75, "D", IF(G44&gt;=55, "C", IF(G44&gt;=35, "S", IF(G44&gt;=0, "F")))))</f>
        <v>S</v>
      </c>
      <c r="I44" s="7">
        <v>63</v>
      </c>
      <c r="J44" s="7" t="str">
        <f t="shared" ref="J44" si="68">IF(I44="-", "Absent", IF(I44&gt;=75, "D", IF(I44&gt;=55, "C", IF(I44&gt;=35, "S", IF(I44&gt;=0, "F")))))</f>
        <v>C</v>
      </c>
      <c r="K44" s="7">
        <v>69</v>
      </c>
      <c r="L44" s="7" t="str">
        <f t="shared" ref="L44" si="69">IF(K44="-", "Absent", IF(K44&gt;=75, "D", IF(K44&gt;=55, "C", IF(K44&gt;=35, "S", IF(K44&gt;=0, "F")))))</f>
        <v>C</v>
      </c>
      <c r="M44" s="7">
        <v>70</v>
      </c>
      <c r="N44" s="7" t="str">
        <f t="shared" ref="N44" si="70">IF(M44="-", "Absent", IF(M44&gt;=75, "D", IF(M44&gt;=55, "C", IF(M44&gt;=35, "S", IF(M44&gt;=0, "F")))))</f>
        <v>C</v>
      </c>
      <c r="O44" s="7">
        <v>49</v>
      </c>
      <c r="P44" s="7" t="str">
        <f t="shared" ref="P44" si="71">IF(O44="-", "Absent", IF(O44&gt;=75, "D", IF(O44&gt;=55, "C", IF(O44&gt;=35, "S", IF(O44&gt;=0, "F")))))</f>
        <v>S</v>
      </c>
      <c r="Q44" s="7">
        <v>58</v>
      </c>
      <c r="R44" s="7" t="str">
        <f t="shared" ref="R44" si="72">IF(Q44="-", "Absent", IF(Q44&gt;=75, "D", IF(Q44&gt;=55, "C", IF(Q44&gt;=35, "S", IF(Q44&gt;=0, "F")))))</f>
        <v>C</v>
      </c>
      <c r="S44" s="7">
        <v>59</v>
      </c>
      <c r="T44" s="7" t="str">
        <f t="shared" ref="T44" si="73">IF(S44="-", "Absent", IF(S44&gt;=75, "D", IF(S44&gt;=55, "C", IF(S44&gt;=35, "S", IF(S44&gt;=0, "F")))))</f>
        <v>C</v>
      </c>
      <c r="U44" s="7">
        <v>59</v>
      </c>
      <c r="V44" s="7" t="str">
        <f t="shared" ref="V44" si="74">IF(U44="-", "Absent", IF(U44&gt;=75, "D", IF(U44&gt;=55, "C", IF(U44&gt;=35, "S", IF(U44&gt;=0, "F")))))</f>
        <v>C</v>
      </c>
      <c r="W44" s="7">
        <v>65</v>
      </c>
      <c r="X44" s="7" t="str">
        <f t="shared" ref="X44" si="75">IF(W44="-", "Absent", IF(W44&gt;=75, "D", IF(W44&gt;=55, "C", IF(W44&gt;=35, "S", IF(W44&gt;=0, "F")))))</f>
        <v>C</v>
      </c>
      <c r="Y44" s="7">
        <v>19</v>
      </c>
      <c r="Z44" s="7" t="str">
        <f t="shared" si="64"/>
        <v>F</v>
      </c>
      <c r="AA44" s="7">
        <f t="shared" si="65"/>
        <v>556</v>
      </c>
      <c r="AB44" s="7" t="str">
        <f t="shared" si="66"/>
        <v>56%</v>
      </c>
      <c r="AC44" s="14" t="s">
        <v>15</v>
      </c>
      <c r="AD44" s="7">
        <v>10</v>
      </c>
      <c r="AE44" s="7">
        <f t="shared" si="43"/>
        <v>1</v>
      </c>
      <c r="AF44" s="7">
        <f t="shared" si="44"/>
        <v>1</v>
      </c>
      <c r="AG44" s="7">
        <f t="shared" si="45"/>
        <v>0</v>
      </c>
      <c r="AH44" s="12"/>
      <c r="AI44" s="14" t="s">
        <v>15</v>
      </c>
      <c r="AJ44" s="7">
        <v>10</v>
      </c>
      <c r="AK44" s="32" t="str">
        <f t="shared" si="46"/>
        <v>Not Completed</v>
      </c>
    </row>
    <row r="45" spans="2:37" ht="27" customHeight="1">
      <c r="B45" s="28">
        <v>38</v>
      </c>
      <c r="C45" s="33" t="s">
        <v>102</v>
      </c>
      <c r="D45" s="34">
        <v>198460800732</v>
      </c>
      <c r="E45" s="4" t="s">
        <v>103</v>
      </c>
      <c r="F45" s="34" t="s">
        <v>474</v>
      </c>
      <c r="G45" s="7" t="s">
        <v>6</v>
      </c>
      <c r="H45" s="7" t="str">
        <f>IF(G45="-", "AB", IF(G45&gt;=75, "D", IF(G45&gt;=55, "C", IF(G45&gt;=35, "S", IF(G45&gt;=0, "F")))))</f>
        <v>AB</v>
      </c>
      <c r="I45" s="7" t="s">
        <v>6</v>
      </c>
      <c r="J45" s="7" t="str">
        <f t="shared" ref="J45" si="76">IF(I45="-", "AB", IF(I45&gt;=75, "D", IF(I45&gt;=55, "C", IF(I45&gt;=35, "S", IF(I45&gt;=0, "F")))))</f>
        <v>AB</v>
      </c>
      <c r="K45" s="7" t="s">
        <v>6</v>
      </c>
      <c r="L45" s="7" t="str">
        <f t="shared" ref="L45" si="77">IF(K45="-", "AB", IF(K45&gt;=75, "D", IF(K45&gt;=55, "C", IF(K45&gt;=35, "S", IF(K45&gt;=0, "F")))))</f>
        <v>AB</v>
      </c>
      <c r="M45" s="7" t="s">
        <v>6</v>
      </c>
      <c r="N45" s="7" t="str">
        <f t="shared" ref="N45" si="78">IF(M45="-", "AB", IF(M45&gt;=75, "D", IF(M45&gt;=55, "C", IF(M45&gt;=35, "S", IF(M45&gt;=0, "F")))))</f>
        <v>AB</v>
      </c>
      <c r="O45" s="7" t="s">
        <v>6</v>
      </c>
      <c r="P45" s="7" t="str">
        <f t="shared" ref="P45" si="79">IF(O45="-", "AB", IF(O45&gt;=75, "D", IF(O45&gt;=55, "C", IF(O45&gt;=35, "S", IF(O45&gt;=0, "F")))))</f>
        <v>AB</v>
      </c>
      <c r="Q45" s="7" t="s">
        <v>6</v>
      </c>
      <c r="R45" s="7" t="str">
        <f t="shared" ref="R45" si="80">IF(Q45="-", "AB", IF(Q45&gt;=75, "D", IF(Q45&gt;=55, "C", IF(Q45&gt;=35, "S", IF(Q45&gt;=0, "F")))))</f>
        <v>AB</v>
      </c>
      <c r="S45" s="7">
        <v>52</v>
      </c>
      <c r="T45" s="7" t="str">
        <f>IF(S45="-", "Absent", IF(S45&gt;=75, "D", IF(S45&gt;=55, "C", IF(S45&gt;=35, "S", IF(S45&gt;=0, "F")))))</f>
        <v>S</v>
      </c>
      <c r="U45" s="7" t="s">
        <v>6</v>
      </c>
      <c r="V45" s="7" t="str">
        <f t="shared" ref="V45:X45" si="81">IF(U45="-", "AB", IF(U45&gt;=75, "D", IF(U45&gt;=55, "C", IF(U45&gt;=35, "S", IF(U45&gt;=0, "F")))))</f>
        <v>AB</v>
      </c>
      <c r="W45" s="7" t="s">
        <v>6</v>
      </c>
      <c r="X45" s="7" t="str">
        <f t="shared" si="81"/>
        <v>AB</v>
      </c>
      <c r="Y45" s="7" t="s">
        <v>6</v>
      </c>
      <c r="Z45" s="7" t="str">
        <f>IF(Y45="-", "AB", IF(Y45&gt;=75, "D", IF(Y45&gt;=55, "C", IF(Y45&gt;=35, "S", IF(Y45&gt;=0, "F")))))</f>
        <v>AB</v>
      </c>
      <c r="AA45" s="7">
        <f t="shared" si="65"/>
        <v>52</v>
      </c>
      <c r="AB45" s="7" t="str">
        <f t="shared" si="66"/>
        <v>5%</v>
      </c>
      <c r="AC45" s="14" t="str">
        <f t="shared" ref="AC45:AC57" si="82">IF(AA45&gt;0, "Not Completed",
   IF(W45=10, "First Class",
      IF(V45&gt;75, IF(Y45&gt;0, "Ordinary Pass", "First Class"),
         IF(V45&gt;65, IF(Y45&gt;0, "Ordinary Pass", "Second Class"),
            IF(V45&lt;65, "Ordinary Pass", "")
         )
      )
   )
)</f>
        <v>Not Completed</v>
      </c>
      <c r="AD45" s="7"/>
      <c r="AE45" s="7">
        <f t="shared" si="43"/>
        <v>1</v>
      </c>
      <c r="AF45" s="7">
        <f t="shared" si="44"/>
        <v>0</v>
      </c>
      <c r="AG45" s="7">
        <f t="shared" si="45"/>
        <v>9</v>
      </c>
      <c r="AH45" s="12"/>
      <c r="AI45" s="14" t="str">
        <f>IF(AG45&gt;0, "Not Completed",
   IF(AC45=10, "First Class",
      IF(AB45&gt;75, IF(AE45&gt;0, "Ordinary Pass", "First Class"),
         IF(AB45&gt;65, IF(AE45&gt;0, "Ordinary Pass", "Second Class"),
            IF(AB45&lt;65, "Ordinary Pass", "")
         )
      )
   )
)</f>
        <v>Not Completed</v>
      </c>
      <c r="AJ45" s="7"/>
      <c r="AK45" s="32" t="str">
        <f t="shared" si="46"/>
        <v>Not Completed</v>
      </c>
    </row>
    <row r="46" spans="2:37" ht="27" customHeight="1">
      <c r="B46" s="28">
        <v>39</v>
      </c>
      <c r="C46" s="29" t="s">
        <v>417</v>
      </c>
      <c r="D46" s="30" t="s">
        <v>106</v>
      </c>
      <c r="E46" s="4" t="s">
        <v>130</v>
      </c>
      <c r="F46" s="34" t="s">
        <v>474</v>
      </c>
      <c r="G46" s="7">
        <v>31</v>
      </c>
      <c r="H46" s="7" t="str">
        <f t="shared" ref="H46:H58" si="83">IF(G46="-", "Absent", IF(G46&gt;=75, "D", IF(G46&gt;=55, "C", IF(G46&gt;=35, "S", IF(G46&gt;=0, "F")))))</f>
        <v>F</v>
      </c>
      <c r="I46" s="7">
        <v>32</v>
      </c>
      <c r="J46" s="7" t="str">
        <f t="shared" ref="J46:J58" si="84">IF(I46="-", "Absent", IF(I46&gt;=75, "D", IF(I46&gt;=55, "C", IF(I46&gt;=35, "S", IF(I46&gt;=0, "F")))))</f>
        <v>F</v>
      </c>
      <c r="K46" s="7">
        <v>65</v>
      </c>
      <c r="L46" s="7" t="str">
        <f t="shared" ref="L46:L58" si="85">IF(K46="-", "Absent", IF(K46&gt;=75, "D", IF(K46&gt;=55, "C", IF(K46&gt;=35, "S", IF(K46&gt;=0, "F")))))</f>
        <v>C</v>
      </c>
      <c r="M46" s="7">
        <v>46</v>
      </c>
      <c r="N46" s="7" t="str">
        <f t="shared" ref="N46:N58" si="86">IF(M46="-", "Absent", IF(M46&gt;=75, "D", IF(M46&gt;=55, "C", IF(M46&gt;=35, "S", IF(M46&gt;=0, "F")))))</f>
        <v>S</v>
      </c>
      <c r="O46" s="7">
        <v>41</v>
      </c>
      <c r="P46" s="7" t="str">
        <f t="shared" ref="P46:P58" si="87">IF(O46="-", "Absent", IF(O46&gt;=75, "D", IF(O46&gt;=55, "C", IF(O46&gt;=35, "S", IF(O46&gt;=0, "F")))))</f>
        <v>S</v>
      </c>
      <c r="Q46" s="7">
        <v>45</v>
      </c>
      <c r="R46" s="7" t="str">
        <f t="shared" ref="R46:R58" si="88">IF(Q46="-", "Absent", IF(Q46&gt;=75, "D", IF(Q46&gt;=55, "C", IF(Q46&gt;=35, "S", IF(Q46&gt;=0, "F")))))</f>
        <v>S</v>
      </c>
      <c r="S46" s="7">
        <v>43</v>
      </c>
      <c r="T46" s="7" t="str">
        <f t="shared" ref="T46:T58" si="89">IF(S46="-", "Absent", IF(S46&gt;=75, "D", IF(S46&gt;=55, "C", IF(S46&gt;=35, "S", IF(S46&gt;=0, "F")))))</f>
        <v>S</v>
      </c>
      <c r="U46" s="7">
        <v>51</v>
      </c>
      <c r="V46" s="7" t="str">
        <f t="shared" ref="V46:V58" si="90">IF(U46="-", "Absent", IF(U46&gt;=75, "D", IF(U46&gt;=55, "C", IF(U46&gt;=35, "S", IF(U46&gt;=0, "F")))))</f>
        <v>S</v>
      </c>
      <c r="W46" s="7">
        <v>56</v>
      </c>
      <c r="X46" s="7" t="str">
        <f t="shared" ref="X46:X58" si="91">IF(W46="-", "Absent", IF(W46&gt;=75, "D", IF(W46&gt;=55, "C", IF(W46&gt;=35, "S", IF(W46&gt;=0, "F")))))</f>
        <v>C</v>
      </c>
      <c r="Y46" s="7">
        <v>25</v>
      </c>
      <c r="Z46" s="7" t="str">
        <f t="shared" ref="Z46:Z58" si="92">IF(Y46="-", "AB", IF(Y46&gt;=75, "D", IF(Y46&gt;=55, "C", IF(Y46&gt;=35, "S", IF(Y46&gt;=0, "F")))))</f>
        <v>F</v>
      </c>
      <c r="AA46" s="7">
        <f t="shared" si="65"/>
        <v>435</v>
      </c>
      <c r="AB46" s="7" t="str">
        <f t="shared" si="66"/>
        <v>44%</v>
      </c>
      <c r="AC46" s="14" t="s">
        <v>453</v>
      </c>
      <c r="AD46" s="7"/>
      <c r="AE46" s="7">
        <f t="shared" si="43"/>
        <v>5</v>
      </c>
      <c r="AF46" s="7">
        <f t="shared" si="44"/>
        <v>2</v>
      </c>
      <c r="AG46" s="7">
        <f t="shared" si="45"/>
        <v>0</v>
      </c>
      <c r="AH46" s="12"/>
      <c r="AI46" s="14" t="s">
        <v>453</v>
      </c>
      <c r="AJ46" s="7"/>
      <c r="AK46" s="32" t="str">
        <f t="shared" si="46"/>
        <v>Not Completed</v>
      </c>
    </row>
    <row r="47" spans="2:37" ht="27" customHeight="1">
      <c r="B47" s="28">
        <v>40</v>
      </c>
      <c r="C47" s="29" t="s">
        <v>104</v>
      </c>
      <c r="D47" s="30" t="s">
        <v>105</v>
      </c>
      <c r="E47" s="4" t="s">
        <v>131</v>
      </c>
      <c r="F47" s="34" t="s">
        <v>474</v>
      </c>
      <c r="G47" s="7">
        <v>34</v>
      </c>
      <c r="H47" s="7">
        <v>5</v>
      </c>
      <c r="I47" s="7">
        <v>46</v>
      </c>
      <c r="J47" s="7" t="str">
        <f t="shared" si="84"/>
        <v>S</v>
      </c>
      <c r="K47" s="7">
        <v>71</v>
      </c>
      <c r="L47" s="7" t="str">
        <f t="shared" si="85"/>
        <v>C</v>
      </c>
      <c r="M47" s="7">
        <v>50</v>
      </c>
      <c r="N47" s="7" t="str">
        <f t="shared" si="86"/>
        <v>S</v>
      </c>
      <c r="O47" s="7">
        <v>37</v>
      </c>
      <c r="P47" s="7" t="str">
        <f t="shared" si="87"/>
        <v>S</v>
      </c>
      <c r="Q47" s="7">
        <v>68</v>
      </c>
      <c r="R47" s="7" t="str">
        <f t="shared" si="88"/>
        <v>C</v>
      </c>
      <c r="S47" s="7">
        <v>51</v>
      </c>
      <c r="T47" s="7" t="str">
        <f t="shared" si="89"/>
        <v>S</v>
      </c>
      <c r="U47" s="7">
        <v>41</v>
      </c>
      <c r="V47" s="7" t="str">
        <f t="shared" si="90"/>
        <v>S</v>
      </c>
      <c r="W47" s="7">
        <v>49</v>
      </c>
      <c r="X47" s="7" t="str">
        <f t="shared" si="91"/>
        <v>S</v>
      </c>
      <c r="Y47" s="7">
        <v>45</v>
      </c>
      <c r="Z47" s="7" t="str">
        <f t="shared" si="92"/>
        <v>S</v>
      </c>
      <c r="AA47" s="7">
        <f t="shared" si="65"/>
        <v>497</v>
      </c>
      <c r="AB47" s="7" t="str">
        <f t="shared" si="66"/>
        <v>50%</v>
      </c>
      <c r="AC47" s="14" t="s">
        <v>454</v>
      </c>
      <c r="AD47" s="7"/>
      <c r="AE47" s="7">
        <f t="shared" si="43"/>
        <v>7</v>
      </c>
      <c r="AF47" s="7">
        <f t="shared" si="44"/>
        <v>0</v>
      </c>
      <c r="AG47" s="7">
        <f t="shared" si="45"/>
        <v>0</v>
      </c>
      <c r="AH47" s="12"/>
      <c r="AI47" s="14" t="str">
        <f>IF(AG47&gt;0, "Not Completed",
   IF(AC47=10, "First Class",
      IF(AB47&gt;75, IF(AE47&gt;0, "Ordinary Pass", "First Class"),
         IF(AB47&gt;65, IF(AE47&gt;0, "Ordinary Pass", "Second Class"),
            IF(AB47&lt;65, "Ordinary Pass", "")
         )
      )
   )
)</f>
        <v>Ordinary Pass</v>
      </c>
      <c r="AJ47" s="7"/>
      <c r="AK47" s="32" t="str">
        <f t="shared" si="46"/>
        <v>Not Completed</v>
      </c>
    </row>
    <row r="48" spans="2:37" ht="27" customHeight="1">
      <c r="B48" s="28">
        <v>41</v>
      </c>
      <c r="C48" s="29" t="s">
        <v>107</v>
      </c>
      <c r="D48" s="30" t="s">
        <v>108</v>
      </c>
      <c r="E48" s="4" t="s">
        <v>132</v>
      </c>
      <c r="F48" s="34" t="s">
        <v>474</v>
      </c>
      <c r="G48" s="7">
        <v>37</v>
      </c>
      <c r="H48" s="7" t="str">
        <f t="shared" si="83"/>
        <v>S</v>
      </c>
      <c r="I48" s="7">
        <v>41</v>
      </c>
      <c r="J48" s="7" t="str">
        <f t="shared" si="84"/>
        <v>S</v>
      </c>
      <c r="K48" s="7">
        <v>49</v>
      </c>
      <c r="L48" s="7" t="str">
        <f t="shared" si="85"/>
        <v>S</v>
      </c>
      <c r="M48" s="7">
        <v>39</v>
      </c>
      <c r="N48" s="7" t="str">
        <f t="shared" si="86"/>
        <v>S</v>
      </c>
      <c r="O48" s="7">
        <v>38</v>
      </c>
      <c r="P48" s="7" t="str">
        <f t="shared" si="87"/>
        <v>S</v>
      </c>
      <c r="Q48" s="7" t="s">
        <v>6</v>
      </c>
      <c r="R48" s="7" t="str">
        <f t="shared" ref="R48" si="93">IF(Q48="-", "AB", IF(Q48&gt;=75, "D", IF(Q48&gt;=55, "C", IF(Q48&gt;=35, "S", IF(Q48&gt;=0, "F")))))</f>
        <v>AB</v>
      </c>
      <c r="S48" s="7" t="s">
        <v>6</v>
      </c>
      <c r="T48" s="7" t="str">
        <f t="shared" ref="T48" si="94">IF(S48="-", "AB", IF(S48&gt;=75, "D", IF(S48&gt;=55, "C", IF(S48&gt;=35, "S", IF(S48&gt;=0, "F")))))</f>
        <v>AB</v>
      </c>
      <c r="U48" s="7" t="s">
        <v>6</v>
      </c>
      <c r="V48" s="7" t="str">
        <f t="shared" ref="V48" si="95">IF(U48="-", "AB", IF(U48&gt;=75, "D", IF(U48&gt;=55, "C", IF(U48&gt;=35, "S", IF(U48&gt;=0, "F")))))</f>
        <v>AB</v>
      </c>
      <c r="W48" s="7" t="s">
        <v>6</v>
      </c>
      <c r="X48" s="7" t="str">
        <f t="shared" ref="X48" si="96">IF(W48="-", "AB", IF(W48&gt;=75, "D", IF(W48&gt;=55, "C", IF(W48&gt;=35, "S", IF(W48&gt;=0, "F")))))</f>
        <v>AB</v>
      </c>
      <c r="Y48" s="7" t="s">
        <v>6</v>
      </c>
      <c r="Z48" s="7" t="str">
        <f t="shared" si="92"/>
        <v>AB</v>
      </c>
      <c r="AA48" s="7">
        <f t="shared" si="65"/>
        <v>204</v>
      </c>
      <c r="AB48" s="7" t="str">
        <f t="shared" si="66"/>
        <v>20%</v>
      </c>
      <c r="AC48" s="14" t="str">
        <f t="shared" si="82"/>
        <v>Not Completed</v>
      </c>
      <c r="AD48" s="7"/>
      <c r="AE48" s="7">
        <f t="shared" si="43"/>
        <v>4</v>
      </c>
      <c r="AF48" s="7">
        <f t="shared" si="44"/>
        <v>0</v>
      </c>
      <c r="AG48" s="7">
        <f t="shared" si="45"/>
        <v>5</v>
      </c>
      <c r="AH48" s="12"/>
      <c r="AI48" s="14" t="str">
        <f>IF(AG48&gt;0, "Not Completed",
   IF(AC48=10, "First Class",
      IF(AB48&gt;75, IF(AE48&gt;0, "Ordinary Pass", "First Class"),
         IF(AB48&gt;65, IF(AE48&gt;0, "Ordinary Pass", "Second Class"),
            IF(AB48&lt;65, "Ordinary Pass", "")
         )
      )
   )
)</f>
        <v>Not Completed</v>
      </c>
      <c r="AJ48" s="7"/>
      <c r="AK48" s="32" t="str">
        <f t="shared" si="46"/>
        <v>Not Completed</v>
      </c>
    </row>
    <row r="49" spans="2:37" ht="27" customHeight="1">
      <c r="B49" s="28">
        <v>42</v>
      </c>
      <c r="C49" s="29" t="s">
        <v>109</v>
      </c>
      <c r="D49" s="30" t="s">
        <v>110</v>
      </c>
      <c r="E49" s="4" t="s">
        <v>133</v>
      </c>
      <c r="F49" s="34" t="s">
        <v>474</v>
      </c>
      <c r="G49" s="7">
        <v>33</v>
      </c>
      <c r="H49" s="7" t="str">
        <f t="shared" si="83"/>
        <v>F</v>
      </c>
      <c r="I49" s="7">
        <v>45</v>
      </c>
      <c r="J49" s="7" t="str">
        <f t="shared" si="84"/>
        <v>S</v>
      </c>
      <c r="K49" s="7">
        <v>59</v>
      </c>
      <c r="L49" s="7" t="str">
        <f t="shared" si="85"/>
        <v>C</v>
      </c>
      <c r="M49" s="7">
        <v>40</v>
      </c>
      <c r="N49" s="7" t="str">
        <f t="shared" si="86"/>
        <v>S</v>
      </c>
      <c r="O49" s="7">
        <v>19</v>
      </c>
      <c r="P49" s="7" t="str">
        <f t="shared" si="87"/>
        <v>F</v>
      </c>
      <c r="Q49" s="7">
        <v>67</v>
      </c>
      <c r="R49" s="7" t="str">
        <f t="shared" si="88"/>
        <v>C</v>
      </c>
      <c r="S49" s="7">
        <v>67</v>
      </c>
      <c r="T49" s="7" t="str">
        <f t="shared" si="89"/>
        <v>C</v>
      </c>
      <c r="U49" s="7">
        <v>43</v>
      </c>
      <c r="V49" s="7" t="str">
        <f t="shared" si="90"/>
        <v>S</v>
      </c>
      <c r="W49" s="7">
        <v>56</v>
      </c>
      <c r="X49" s="7" t="str">
        <f t="shared" si="91"/>
        <v>C</v>
      </c>
      <c r="Y49" s="7">
        <v>17</v>
      </c>
      <c r="Z49" s="7" t="str">
        <f t="shared" si="92"/>
        <v>F</v>
      </c>
      <c r="AA49" s="7">
        <f t="shared" si="65"/>
        <v>446</v>
      </c>
      <c r="AB49" s="7" t="str">
        <f t="shared" si="66"/>
        <v>45%</v>
      </c>
      <c r="AC49" s="14" t="s">
        <v>453</v>
      </c>
      <c r="AD49" s="7"/>
      <c r="AE49" s="7">
        <f t="shared" si="43"/>
        <v>3</v>
      </c>
      <c r="AF49" s="7">
        <f t="shared" si="44"/>
        <v>2</v>
      </c>
      <c r="AG49" s="7">
        <f t="shared" si="45"/>
        <v>0</v>
      </c>
      <c r="AH49" s="12"/>
      <c r="AI49" s="14" t="s">
        <v>453</v>
      </c>
      <c r="AJ49" s="7"/>
      <c r="AK49" s="32" t="str">
        <f t="shared" si="46"/>
        <v>Not Completed</v>
      </c>
    </row>
    <row r="50" spans="2:37" ht="27" customHeight="1">
      <c r="B50" s="28">
        <v>43</v>
      </c>
      <c r="C50" s="29" t="s">
        <v>111</v>
      </c>
      <c r="D50" s="30">
        <v>197855600507</v>
      </c>
      <c r="E50" s="4" t="s">
        <v>134</v>
      </c>
      <c r="F50" s="34" t="s">
        <v>474</v>
      </c>
      <c r="G50" s="7">
        <v>31</v>
      </c>
      <c r="H50" s="7" t="str">
        <f t="shared" si="83"/>
        <v>F</v>
      </c>
      <c r="I50" s="7">
        <v>36</v>
      </c>
      <c r="J50" s="7" t="str">
        <f t="shared" si="84"/>
        <v>S</v>
      </c>
      <c r="K50" s="7">
        <v>56</v>
      </c>
      <c r="L50" s="7" t="str">
        <f t="shared" si="85"/>
        <v>C</v>
      </c>
      <c r="M50" s="7">
        <v>39</v>
      </c>
      <c r="N50" s="7" t="str">
        <f t="shared" si="86"/>
        <v>S</v>
      </c>
      <c r="O50" s="7">
        <v>20</v>
      </c>
      <c r="P50" s="7" t="str">
        <f t="shared" si="87"/>
        <v>F</v>
      </c>
      <c r="Q50" s="7">
        <v>38</v>
      </c>
      <c r="R50" s="7" t="str">
        <f t="shared" si="88"/>
        <v>S</v>
      </c>
      <c r="S50" s="7">
        <v>48</v>
      </c>
      <c r="T50" s="7" t="str">
        <f t="shared" si="89"/>
        <v>S</v>
      </c>
      <c r="U50" s="7">
        <v>33</v>
      </c>
      <c r="V50" s="7" t="str">
        <f t="shared" si="90"/>
        <v>F</v>
      </c>
      <c r="W50" s="7">
        <v>34</v>
      </c>
      <c r="X50" s="7" t="str">
        <f t="shared" si="91"/>
        <v>F</v>
      </c>
      <c r="Y50" s="7">
        <v>48</v>
      </c>
      <c r="Z50" s="7" t="str">
        <f t="shared" si="92"/>
        <v>S</v>
      </c>
      <c r="AA50" s="7">
        <f t="shared" si="65"/>
        <v>383</v>
      </c>
      <c r="AB50" s="7" t="str">
        <f t="shared" si="66"/>
        <v>38%</v>
      </c>
      <c r="AC50" s="14" t="s">
        <v>453</v>
      </c>
      <c r="AD50" s="7"/>
      <c r="AE50" s="7">
        <f t="shared" si="43"/>
        <v>5</v>
      </c>
      <c r="AF50" s="7">
        <f t="shared" si="44"/>
        <v>3</v>
      </c>
      <c r="AG50" s="7">
        <f t="shared" si="45"/>
        <v>0</v>
      </c>
      <c r="AH50" s="12"/>
      <c r="AI50" s="14" t="s">
        <v>453</v>
      </c>
      <c r="AJ50" s="7"/>
      <c r="AK50" s="36" t="str">
        <f t="shared" si="46"/>
        <v>Not Completed</v>
      </c>
    </row>
    <row r="51" spans="2:37" ht="27" customHeight="1">
      <c r="B51" s="28">
        <v>44</v>
      </c>
      <c r="C51" s="29" t="s">
        <v>112</v>
      </c>
      <c r="D51" s="30">
        <v>198924800494</v>
      </c>
      <c r="E51" s="4" t="s">
        <v>135</v>
      </c>
      <c r="F51" s="34" t="s">
        <v>474</v>
      </c>
      <c r="G51" s="7" t="s">
        <v>6</v>
      </c>
      <c r="H51" s="7" t="str">
        <f t="shared" ref="H51:X51" si="97">IF(G51="-", "AB", IF(G51&gt;=75, "D", IF(G51&gt;=55, "C", IF(G51&gt;=35, "S", IF(G51&gt;=0, "F")))))</f>
        <v>AB</v>
      </c>
      <c r="I51" s="7" t="s">
        <v>6</v>
      </c>
      <c r="J51" s="7" t="str">
        <f t="shared" si="97"/>
        <v>AB</v>
      </c>
      <c r="K51" s="7" t="s">
        <v>6</v>
      </c>
      <c r="L51" s="7" t="str">
        <f t="shared" si="97"/>
        <v>AB</v>
      </c>
      <c r="M51" s="7" t="s">
        <v>6</v>
      </c>
      <c r="N51" s="7" t="str">
        <f t="shared" si="97"/>
        <v>AB</v>
      </c>
      <c r="O51" s="7" t="s">
        <v>6</v>
      </c>
      <c r="P51" s="7" t="str">
        <f t="shared" si="97"/>
        <v>AB</v>
      </c>
      <c r="Q51" s="7" t="s">
        <v>6</v>
      </c>
      <c r="R51" s="7" t="str">
        <f t="shared" si="97"/>
        <v>AB</v>
      </c>
      <c r="S51" s="7" t="s">
        <v>6</v>
      </c>
      <c r="T51" s="7" t="str">
        <f t="shared" si="97"/>
        <v>AB</v>
      </c>
      <c r="U51" s="7" t="s">
        <v>6</v>
      </c>
      <c r="V51" s="7" t="str">
        <f t="shared" si="97"/>
        <v>AB</v>
      </c>
      <c r="W51" s="7" t="s">
        <v>6</v>
      </c>
      <c r="X51" s="7" t="str">
        <f t="shared" si="97"/>
        <v>AB</v>
      </c>
      <c r="Y51" s="7" t="s">
        <v>6</v>
      </c>
      <c r="Z51" s="7" t="str">
        <f t="shared" si="92"/>
        <v>AB</v>
      </c>
      <c r="AA51" s="7">
        <f t="shared" si="65"/>
        <v>0</v>
      </c>
      <c r="AB51" s="7" t="str">
        <f t="shared" si="66"/>
        <v>0%</v>
      </c>
      <c r="AC51" s="14" t="s">
        <v>403</v>
      </c>
      <c r="AD51" s="7"/>
      <c r="AE51" s="7">
        <f t="shared" si="43"/>
        <v>0</v>
      </c>
      <c r="AF51" s="7">
        <f t="shared" si="44"/>
        <v>0</v>
      </c>
      <c r="AG51" s="7">
        <f t="shared" si="45"/>
        <v>10</v>
      </c>
      <c r="AH51" s="12"/>
      <c r="AI51" s="14" t="s">
        <v>403</v>
      </c>
      <c r="AJ51" s="7"/>
      <c r="AK51" s="36" t="str">
        <f t="shared" si="46"/>
        <v>Not Completed</v>
      </c>
    </row>
    <row r="52" spans="2:37" ht="27" customHeight="1">
      <c r="B52" s="28">
        <v>45</v>
      </c>
      <c r="C52" s="29" t="s">
        <v>113</v>
      </c>
      <c r="D52" s="30" t="s">
        <v>418</v>
      </c>
      <c r="E52" s="4" t="s">
        <v>136</v>
      </c>
      <c r="F52" s="34" t="s">
        <v>474</v>
      </c>
      <c r="G52" s="7">
        <v>32</v>
      </c>
      <c r="H52" s="7" t="str">
        <f t="shared" si="83"/>
        <v>F</v>
      </c>
      <c r="I52" s="7">
        <v>77</v>
      </c>
      <c r="J52" s="7" t="str">
        <f t="shared" si="84"/>
        <v>D</v>
      </c>
      <c r="K52" s="7">
        <v>76</v>
      </c>
      <c r="L52" s="7" t="str">
        <f t="shared" si="85"/>
        <v>D</v>
      </c>
      <c r="M52" s="7">
        <v>62</v>
      </c>
      <c r="N52" s="7" t="str">
        <f t="shared" si="86"/>
        <v>C</v>
      </c>
      <c r="O52" s="7">
        <v>40</v>
      </c>
      <c r="P52" s="7" t="str">
        <f>IF(O52="-", "Absent", IF(O52&gt;=75, "D", IF(O52&gt;=55, "C", IF(O52&gt;=35, "S", IF(O52&gt;=0, "F")))))</f>
        <v>S</v>
      </c>
      <c r="Q52" s="7">
        <v>51</v>
      </c>
      <c r="R52" s="7" t="str">
        <f t="shared" si="88"/>
        <v>S</v>
      </c>
      <c r="S52" s="7">
        <v>53</v>
      </c>
      <c r="T52" s="7" t="str">
        <f t="shared" si="89"/>
        <v>S</v>
      </c>
      <c r="U52" s="7">
        <v>52</v>
      </c>
      <c r="V52" s="7" t="str">
        <f t="shared" si="90"/>
        <v>S</v>
      </c>
      <c r="W52" s="7">
        <v>61</v>
      </c>
      <c r="X52" s="7" t="str">
        <f t="shared" si="91"/>
        <v>C</v>
      </c>
      <c r="Y52" s="7">
        <v>30</v>
      </c>
      <c r="Z52" s="7" t="str">
        <f t="shared" si="92"/>
        <v>F</v>
      </c>
      <c r="AA52" s="7">
        <f t="shared" si="65"/>
        <v>534</v>
      </c>
      <c r="AB52" s="7" t="str">
        <f t="shared" si="66"/>
        <v>53%</v>
      </c>
      <c r="AC52" s="14" t="s">
        <v>15</v>
      </c>
      <c r="AD52" s="7" t="s">
        <v>465</v>
      </c>
      <c r="AE52" s="7">
        <f t="shared" si="43"/>
        <v>4</v>
      </c>
      <c r="AF52" s="7">
        <f t="shared" si="44"/>
        <v>1</v>
      </c>
      <c r="AG52" s="7">
        <f t="shared" si="45"/>
        <v>0</v>
      </c>
      <c r="AH52" s="12"/>
      <c r="AI52" s="14" t="s">
        <v>15</v>
      </c>
      <c r="AJ52" s="7" t="s">
        <v>465</v>
      </c>
      <c r="AK52" s="36" t="str">
        <f t="shared" si="46"/>
        <v>Not Completed</v>
      </c>
    </row>
    <row r="53" spans="2:37" ht="27" customHeight="1">
      <c r="B53" s="28">
        <v>46</v>
      </c>
      <c r="C53" s="29" t="s">
        <v>114</v>
      </c>
      <c r="D53" s="30" t="s">
        <v>115</v>
      </c>
      <c r="E53" s="4" t="s">
        <v>137</v>
      </c>
      <c r="F53" s="34" t="s">
        <v>474</v>
      </c>
      <c r="G53" s="7" t="s">
        <v>6</v>
      </c>
      <c r="H53" s="7" t="str">
        <f t="shared" ref="H53:X53" si="98">IF(G53="-", "AB", IF(G53&gt;=75, "D", IF(G53&gt;=55, "C", IF(G53&gt;=35, "S", IF(G53&gt;=0, "F")))))</f>
        <v>AB</v>
      </c>
      <c r="I53" s="7" t="s">
        <v>6</v>
      </c>
      <c r="J53" s="7" t="str">
        <f t="shared" si="98"/>
        <v>AB</v>
      </c>
      <c r="K53" s="7" t="s">
        <v>6</v>
      </c>
      <c r="L53" s="7" t="str">
        <f t="shared" si="98"/>
        <v>AB</v>
      </c>
      <c r="M53" s="7" t="s">
        <v>6</v>
      </c>
      <c r="N53" s="7" t="str">
        <f t="shared" si="98"/>
        <v>AB</v>
      </c>
      <c r="O53" s="7" t="s">
        <v>6</v>
      </c>
      <c r="P53" s="7" t="str">
        <f t="shared" si="98"/>
        <v>AB</v>
      </c>
      <c r="Q53" s="7" t="s">
        <v>6</v>
      </c>
      <c r="R53" s="7" t="str">
        <f t="shared" si="98"/>
        <v>AB</v>
      </c>
      <c r="S53" s="7" t="s">
        <v>6</v>
      </c>
      <c r="T53" s="7" t="str">
        <f t="shared" si="98"/>
        <v>AB</v>
      </c>
      <c r="U53" s="7" t="s">
        <v>6</v>
      </c>
      <c r="V53" s="7" t="str">
        <f t="shared" si="98"/>
        <v>AB</v>
      </c>
      <c r="W53" s="7" t="s">
        <v>6</v>
      </c>
      <c r="X53" s="7" t="str">
        <f t="shared" si="98"/>
        <v>AB</v>
      </c>
      <c r="Y53" s="7" t="s">
        <v>6</v>
      </c>
      <c r="Z53" s="7" t="str">
        <f t="shared" si="92"/>
        <v>AB</v>
      </c>
      <c r="AA53" s="7">
        <f t="shared" si="65"/>
        <v>0</v>
      </c>
      <c r="AB53" s="7" t="str">
        <f t="shared" si="66"/>
        <v>0%</v>
      </c>
      <c r="AC53" s="14" t="s">
        <v>403</v>
      </c>
      <c r="AD53" s="7"/>
      <c r="AE53" s="7">
        <f t="shared" si="43"/>
        <v>0</v>
      </c>
      <c r="AF53" s="7">
        <f t="shared" si="44"/>
        <v>0</v>
      </c>
      <c r="AG53" s="7">
        <f t="shared" si="45"/>
        <v>10</v>
      </c>
      <c r="AH53" s="12"/>
      <c r="AI53" s="14" t="s">
        <v>403</v>
      </c>
      <c r="AJ53" s="7"/>
      <c r="AK53" s="36" t="str">
        <f t="shared" si="46"/>
        <v>Not Completed</v>
      </c>
    </row>
    <row r="54" spans="2:37" ht="27" customHeight="1">
      <c r="B54" s="28">
        <v>47</v>
      </c>
      <c r="C54" s="29" t="s">
        <v>116</v>
      </c>
      <c r="D54" s="30" t="s">
        <v>117</v>
      </c>
      <c r="E54" s="4" t="s">
        <v>138</v>
      </c>
      <c r="F54" s="34" t="s">
        <v>474</v>
      </c>
      <c r="G54" s="7">
        <v>36</v>
      </c>
      <c r="H54" s="7" t="str">
        <f t="shared" si="83"/>
        <v>S</v>
      </c>
      <c r="I54" s="7">
        <v>34</v>
      </c>
      <c r="J54" s="7" t="str">
        <f t="shared" si="84"/>
        <v>F</v>
      </c>
      <c r="K54" s="7">
        <v>26</v>
      </c>
      <c r="L54" s="7" t="str">
        <f t="shared" si="85"/>
        <v>F</v>
      </c>
      <c r="M54" s="7">
        <v>49</v>
      </c>
      <c r="N54" s="7" t="str">
        <f t="shared" si="86"/>
        <v>S</v>
      </c>
      <c r="O54" s="7">
        <v>35</v>
      </c>
      <c r="P54" s="7" t="str">
        <f t="shared" si="87"/>
        <v>S</v>
      </c>
      <c r="Q54" s="7">
        <v>29</v>
      </c>
      <c r="R54" s="7" t="str">
        <f t="shared" si="88"/>
        <v>F</v>
      </c>
      <c r="S54" s="7">
        <v>22</v>
      </c>
      <c r="T54" s="7" t="str">
        <f t="shared" si="89"/>
        <v>F</v>
      </c>
      <c r="U54" s="7">
        <v>37</v>
      </c>
      <c r="V54" s="7" t="str">
        <f t="shared" si="90"/>
        <v>S</v>
      </c>
      <c r="W54" s="7">
        <v>21</v>
      </c>
      <c r="X54" s="7" t="str">
        <f t="shared" si="91"/>
        <v>F</v>
      </c>
      <c r="Y54" s="7">
        <v>11</v>
      </c>
      <c r="Z54" s="7" t="str">
        <f t="shared" si="92"/>
        <v>F</v>
      </c>
      <c r="AA54" s="7">
        <f t="shared" si="65"/>
        <v>300</v>
      </c>
      <c r="AB54" s="7" t="str">
        <f t="shared" si="66"/>
        <v>30%</v>
      </c>
      <c r="AC54" s="14" t="s">
        <v>453</v>
      </c>
      <c r="AD54" s="7"/>
      <c r="AE54" s="7">
        <f t="shared" si="43"/>
        <v>3</v>
      </c>
      <c r="AF54" s="7">
        <f t="shared" si="44"/>
        <v>6</v>
      </c>
      <c r="AG54" s="7">
        <f t="shared" si="45"/>
        <v>0</v>
      </c>
      <c r="AH54" s="12"/>
      <c r="AI54" s="14" t="s">
        <v>453</v>
      </c>
      <c r="AJ54" s="7"/>
      <c r="AK54" s="36" t="str">
        <f t="shared" si="46"/>
        <v>Not Completed</v>
      </c>
    </row>
    <row r="55" spans="2:37" ht="27" customHeight="1">
      <c r="B55" s="28">
        <v>48</v>
      </c>
      <c r="C55" s="29" t="s">
        <v>118</v>
      </c>
      <c r="D55" s="30" t="s">
        <v>119</v>
      </c>
      <c r="E55" s="4" t="s">
        <v>139</v>
      </c>
      <c r="F55" s="34" t="s">
        <v>474</v>
      </c>
      <c r="G55" s="7">
        <v>37</v>
      </c>
      <c r="H55" s="7" t="str">
        <f t="shared" si="83"/>
        <v>S</v>
      </c>
      <c r="I55" s="7">
        <v>72</v>
      </c>
      <c r="J55" s="7" t="str">
        <f t="shared" si="84"/>
        <v>C</v>
      </c>
      <c r="K55" s="7">
        <v>76</v>
      </c>
      <c r="L55" s="7" t="str">
        <f t="shared" si="85"/>
        <v>D</v>
      </c>
      <c r="M55" s="7">
        <v>62</v>
      </c>
      <c r="N55" s="7" t="str">
        <f t="shared" si="86"/>
        <v>C</v>
      </c>
      <c r="O55" s="7">
        <v>50</v>
      </c>
      <c r="P55" s="7" t="str">
        <f t="shared" si="87"/>
        <v>S</v>
      </c>
      <c r="Q55" s="7" t="s">
        <v>6</v>
      </c>
      <c r="R55" s="7" t="str">
        <f t="shared" ref="R55:X55" si="99">IF(Q55="-", "AB", IF(Q55&gt;=75, "D", IF(Q55&gt;=55, "C", IF(Q55&gt;=35, "S", IF(Q55&gt;=0, "F")))))</f>
        <v>AB</v>
      </c>
      <c r="S55" s="7" t="s">
        <v>6</v>
      </c>
      <c r="T55" s="7" t="str">
        <f t="shared" si="99"/>
        <v>AB</v>
      </c>
      <c r="U55" s="7" t="s">
        <v>6</v>
      </c>
      <c r="V55" s="7" t="str">
        <f t="shared" si="99"/>
        <v>AB</v>
      </c>
      <c r="W55" s="7" t="s">
        <v>6</v>
      </c>
      <c r="X55" s="7" t="str">
        <f t="shared" si="99"/>
        <v>AB</v>
      </c>
      <c r="Y55" s="7" t="s">
        <v>6</v>
      </c>
      <c r="Z55" s="7" t="str">
        <f t="shared" si="92"/>
        <v>AB</v>
      </c>
      <c r="AA55" s="7">
        <f t="shared" si="65"/>
        <v>297</v>
      </c>
      <c r="AB55" s="7" t="str">
        <f t="shared" si="66"/>
        <v>30%</v>
      </c>
      <c r="AC55" s="14" t="str">
        <f t="shared" si="82"/>
        <v>Not Completed</v>
      </c>
      <c r="AD55" s="7"/>
      <c r="AE55" s="7">
        <f t="shared" si="43"/>
        <v>1</v>
      </c>
      <c r="AF55" s="7">
        <f t="shared" si="44"/>
        <v>0</v>
      </c>
      <c r="AG55" s="7">
        <f t="shared" si="45"/>
        <v>5</v>
      </c>
      <c r="AH55" s="12"/>
      <c r="AI55" s="14" t="str">
        <f>IF(AG55&gt;0, "Not Completed",
   IF(AC55=10, "First Class",
      IF(AB55&gt;75, IF(AE55&gt;0, "Ordinary Pass", "First Class"),
         IF(AB55&gt;65, IF(AE55&gt;0, "Ordinary Pass", "Second Class"),
            IF(AB55&lt;65, "Ordinary Pass", "")
         )
      )
   )
)</f>
        <v>Not Completed</v>
      </c>
      <c r="AJ55" s="7"/>
      <c r="AK55" s="36" t="str">
        <f t="shared" si="46"/>
        <v>Not Completed</v>
      </c>
    </row>
    <row r="56" spans="2:37" ht="27" customHeight="1">
      <c r="B56" s="28">
        <v>49</v>
      </c>
      <c r="C56" s="29" t="s">
        <v>120</v>
      </c>
      <c r="D56" s="30" t="s">
        <v>121</v>
      </c>
      <c r="E56" s="4" t="s">
        <v>140</v>
      </c>
      <c r="F56" s="34" t="s">
        <v>474</v>
      </c>
      <c r="G56" s="7">
        <v>46</v>
      </c>
      <c r="H56" s="7" t="str">
        <f t="shared" si="83"/>
        <v>S</v>
      </c>
      <c r="I56" s="7">
        <v>80</v>
      </c>
      <c r="J56" s="7" t="str">
        <f t="shared" si="84"/>
        <v>D</v>
      </c>
      <c r="K56" s="7">
        <v>76</v>
      </c>
      <c r="L56" s="7" t="str">
        <f t="shared" si="85"/>
        <v>D</v>
      </c>
      <c r="M56" s="7">
        <v>66</v>
      </c>
      <c r="N56" s="7" t="str">
        <f t="shared" si="86"/>
        <v>C</v>
      </c>
      <c r="O56" s="7">
        <v>42</v>
      </c>
      <c r="P56" s="7" t="str">
        <f t="shared" si="87"/>
        <v>S</v>
      </c>
      <c r="Q56" s="7">
        <v>61</v>
      </c>
      <c r="R56" s="7" t="str">
        <f t="shared" si="88"/>
        <v>C</v>
      </c>
      <c r="S56" s="7">
        <v>63</v>
      </c>
      <c r="T56" s="7" t="str">
        <f t="shared" si="89"/>
        <v>C</v>
      </c>
      <c r="U56" s="7">
        <v>50</v>
      </c>
      <c r="V56" s="7" t="str">
        <f t="shared" si="90"/>
        <v>S</v>
      </c>
      <c r="W56" s="7">
        <v>60</v>
      </c>
      <c r="X56" s="7" t="str">
        <f t="shared" si="91"/>
        <v>C</v>
      </c>
      <c r="Y56" s="7">
        <v>43</v>
      </c>
      <c r="Z56" s="7" t="str">
        <f t="shared" si="92"/>
        <v>S</v>
      </c>
      <c r="AA56" s="7">
        <f t="shared" si="65"/>
        <v>587</v>
      </c>
      <c r="AB56" s="7" t="str">
        <f t="shared" si="66"/>
        <v>59%</v>
      </c>
      <c r="AC56" s="14" t="s">
        <v>454</v>
      </c>
      <c r="AD56" s="7"/>
      <c r="AE56" s="7">
        <f t="shared" si="43"/>
        <v>3</v>
      </c>
      <c r="AF56" s="7">
        <f t="shared" si="44"/>
        <v>0</v>
      </c>
      <c r="AG56" s="7">
        <f t="shared" si="45"/>
        <v>0</v>
      </c>
      <c r="AH56" s="12"/>
      <c r="AI56" s="14" t="str">
        <f>IF(AG56&gt;0, "Not Completed",
   IF(AC56=10, "First Class",
      IF(AB56&gt;75, IF(AE56&gt;0, "Ordinary Pass", "First Class"),
         IF(AB56&gt;65, IF(AE56&gt;0, "Ordinary Pass", "Second Class"),
            IF(AB56&lt;65, "Ordinary Pass", "")
         )
      )
   )
)</f>
        <v>Ordinary Pass</v>
      </c>
      <c r="AJ56" s="7"/>
      <c r="AK56" s="36" t="str">
        <f t="shared" si="46"/>
        <v>Not Completed</v>
      </c>
    </row>
    <row r="57" spans="2:37" ht="27" customHeight="1">
      <c r="B57" s="28">
        <v>50</v>
      </c>
      <c r="C57" s="29" t="s">
        <v>122</v>
      </c>
      <c r="D57" s="30">
        <v>197557503815</v>
      </c>
      <c r="E57" s="4" t="s">
        <v>141</v>
      </c>
      <c r="F57" s="34" t="s">
        <v>474</v>
      </c>
      <c r="G57" s="7">
        <v>43</v>
      </c>
      <c r="H57" s="7" t="str">
        <f t="shared" si="83"/>
        <v>S</v>
      </c>
      <c r="I57" s="7">
        <v>53</v>
      </c>
      <c r="J57" s="7" t="str">
        <f t="shared" si="84"/>
        <v>S</v>
      </c>
      <c r="K57" s="7">
        <v>69</v>
      </c>
      <c r="L57" s="7" t="str">
        <f t="shared" si="85"/>
        <v>C</v>
      </c>
      <c r="M57" s="7">
        <v>52</v>
      </c>
      <c r="N57" s="7" t="str">
        <f t="shared" si="86"/>
        <v>S</v>
      </c>
      <c r="O57" s="7">
        <v>36</v>
      </c>
      <c r="P57" s="7" t="str">
        <f t="shared" si="87"/>
        <v>S</v>
      </c>
      <c r="Q57" s="7">
        <v>68</v>
      </c>
      <c r="R57" s="7" t="str">
        <f t="shared" si="88"/>
        <v>C</v>
      </c>
      <c r="S57" s="7">
        <v>49</v>
      </c>
      <c r="T57" s="7" t="str">
        <f t="shared" si="89"/>
        <v>S</v>
      </c>
      <c r="U57" s="7">
        <v>49</v>
      </c>
      <c r="V57" s="7" t="str">
        <f t="shared" si="90"/>
        <v>S</v>
      </c>
      <c r="W57" s="7">
        <v>41</v>
      </c>
      <c r="X57" s="7" t="str">
        <f t="shared" si="91"/>
        <v>S</v>
      </c>
      <c r="Y57" s="7" t="s">
        <v>6</v>
      </c>
      <c r="Z57" s="7" t="str">
        <f t="shared" si="92"/>
        <v>AB</v>
      </c>
      <c r="AA57" s="7">
        <f t="shared" si="65"/>
        <v>460</v>
      </c>
      <c r="AB57" s="7" t="str">
        <f t="shared" si="66"/>
        <v>46%</v>
      </c>
      <c r="AC57" s="14" t="str">
        <f t="shared" si="82"/>
        <v>Not Completed</v>
      </c>
      <c r="AD57" s="7"/>
      <c r="AE57" s="7">
        <f t="shared" si="43"/>
        <v>6</v>
      </c>
      <c r="AF57" s="7">
        <f t="shared" si="44"/>
        <v>0</v>
      </c>
      <c r="AG57" s="7">
        <f t="shared" si="45"/>
        <v>1</v>
      </c>
      <c r="AH57" s="12"/>
      <c r="AI57" s="14" t="str">
        <f>IF(AG57&gt;0, "Not Completed",
   IF(AC57=10, "First Class",
      IF(AB57&gt;75, IF(AE57&gt;0, "Ordinary Pass", "First Class"),
         IF(AB57&gt;65, IF(AE57&gt;0, "Ordinary Pass", "Second Class"),
            IF(AB57&lt;65, "Ordinary Pass", "")
         )
      )
   )
)</f>
        <v>Not Completed</v>
      </c>
      <c r="AJ57" s="7"/>
      <c r="AK57" s="36" t="str">
        <f t="shared" si="46"/>
        <v>Not Completed</v>
      </c>
    </row>
    <row r="58" spans="2:37" ht="27" customHeight="1">
      <c r="B58" s="28">
        <v>51</v>
      </c>
      <c r="C58" s="29" t="s">
        <v>123</v>
      </c>
      <c r="D58" s="30" t="s">
        <v>124</v>
      </c>
      <c r="E58" s="4" t="s">
        <v>142</v>
      </c>
      <c r="F58" s="34" t="s">
        <v>474</v>
      </c>
      <c r="G58" s="7">
        <v>15</v>
      </c>
      <c r="H58" s="7" t="str">
        <f t="shared" si="83"/>
        <v>F</v>
      </c>
      <c r="I58" s="7">
        <v>77</v>
      </c>
      <c r="J58" s="7" t="str">
        <f t="shared" si="84"/>
        <v>D</v>
      </c>
      <c r="K58" s="7">
        <v>89</v>
      </c>
      <c r="L58" s="7" t="str">
        <f t="shared" si="85"/>
        <v>D</v>
      </c>
      <c r="M58" s="7">
        <v>51</v>
      </c>
      <c r="N58" s="7" t="str">
        <f t="shared" si="86"/>
        <v>S</v>
      </c>
      <c r="O58" s="7">
        <v>48</v>
      </c>
      <c r="P58" s="7" t="str">
        <f t="shared" si="87"/>
        <v>S</v>
      </c>
      <c r="Q58" s="7">
        <v>85</v>
      </c>
      <c r="R58" s="7" t="str">
        <f t="shared" si="88"/>
        <v>D</v>
      </c>
      <c r="S58" s="7">
        <v>69</v>
      </c>
      <c r="T58" s="7" t="str">
        <f t="shared" si="89"/>
        <v>C</v>
      </c>
      <c r="U58" s="7">
        <v>57</v>
      </c>
      <c r="V58" s="7" t="str">
        <f t="shared" si="90"/>
        <v>C</v>
      </c>
      <c r="W58" s="7">
        <v>57</v>
      </c>
      <c r="X58" s="7" t="str">
        <f t="shared" si="91"/>
        <v>C</v>
      </c>
      <c r="Y58" s="7">
        <v>47</v>
      </c>
      <c r="Z58" s="7" t="str">
        <f t="shared" si="92"/>
        <v>S</v>
      </c>
      <c r="AA58" s="7">
        <f t="shared" si="65"/>
        <v>595</v>
      </c>
      <c r="AB58" s="7" t="str">
        <f t="shared" si="66"/>
        <v>60%</v>
      </c>
      <c r="AC58" s="14" t="s">
        <v>15</v>
      </c>
      <c r="AD58" s="7">
        <v>1</v>
      </c>
      <c r="AE58" s="7">
        <f t="shared" ref="AE58:AE89" si="100">COUNTIF(I58:AD58, "S")</f>
        <v>3</v>
      </c>
      <c r="AF58" s="7">
        <f t="shared" ref="AF58:AF89" si="101">COUNTIF(J58:AE58, "F")</f>
        <v>0</v>
      </c>
      <c r="AG58" s="7">
        <f t="shared" ref="AG58:AG89" si="102">COUNTIF(G58:AF58, "-")</f>
        <v>0</v>
      </c>
      <c r="AH58" s="12"/>
      <c r="AI58" s="14" t="s">
        <v>15</v>
      </c>
      <c r="AJ58" s="7">
        <v>1</v>
      </c>
      <c r="AK58" s="36" t="str">
        <f t="shared" ref="AK58:AK89" si="103">IF(AI58&gt;0, "Not Completed",
   IF(AE58=10, "First Class",
      IF(AB58&gt;75, IF(AG58&gt;0, "Ordinary Pass", "First Class"),
         IF(AB58&gt;65, IF(AG58&gt;0, "Ordinary Pass", "Second Class"),
            IF(AB58&lt;65, "Ordinary Pass", "")
         )
      )
   )
)</f>
        <v>Not Completed</v>
      </c>
    </row>
    <row r="59" spans="2:37" ht="27" customHeight="1">
      <c r="B59" s="28">
        <v>52</v>
      </c>
      <c r="C59" s="29" t="s">
        <v>125</v>
      </c>
      <c r="D59" s="30">
        <v>198770201858</v>
      </c>
      <c r="E59" s="4" t="s">
        <v>143</v>
      </c>
      <c r="F59" s="34" t="s">
        <v>474</v>
      </c>
      <c r="G59" s="7">
        <v>56</v>
      </c>
      <c r="H59" s="7" t="str">
        <f>IF(G59="-", "Absent", IF(G59&gt;=75, "D", IF(G59&gt;=55, "C", IF(G59&gt;=35, "S", IF(G59&gt;=0, "F")))))</f>
        <v>C</v>
      </c>
      <c r="I59" s="7">
        <v>57</v>
      </c>
      <c r="J59" s="7" t="str">
        <f>IF(I59="-", "Absent", IF(I59&gt;=75, "D", IF(I59&gt;=55, "C", IF(I59&gt;=35, "S", IF(I59&gt;=0, "F")))))</f>
        <v>C</v>
      </c>
      <c r="K59" s="7">
        <v>58</v>
      </c>
      <c r="L59" s="7" t="str">
        <f>IF(K59="-", "Absent", IF(K59&gt;=75, "D", IF(K59&gt;=55, "C", IF(K59&gt;=35, "S", IF(K59&gt;=0, "F")))))</f>
        <v>C</v>
      </c>
      <c r="M59" s="7">
        <v>59</v>
      </c>
      <c r="N59" s="7" t="str">
        <f>IF(M59="-", "Absent", IF(M59&gt;=75, "D", IF(M59&gt;=55, "C", IF(M59&gt;=35, "S", IF(M59&gt;=0, "F")))))</f>
        <v>C</v>
      </c>
      <c r="O59" s="7">
        <v>43</v>
      </c>
      <c r="P59" s="7" t="str">
        <f>IF(O59="-", "Absent", IF(O59&gt;=75, "D", IF(O59&gt;=55, "C", IF(O59&gt;=35, "S", IF(O59&gt;=0, "F")))))</f>
        <v>S</v>
      </c>
      <c r="Q59" s="7">
        <v>83</v>
      </c>
      <c r="R59" s="7" t="str">
        <f>IF(Q59="-", "Absent", IF(Q59&gt;=75, "D", IF(Q59&gt;=55, "C", IF(Q59&gt;=35, "S", IF(Q59&gt;=0, "F")))))</f>
        <v>D</v>
      </c>
      <c r="S59" s="7">
        <v>79</v>
      </c>
      <c r="T59" s="7" t="str">
        <f>IF(S59="-", "Absent", IF(S59&gt;=75, "D", IF(S59&gt;=55, "C", IF(S59&gt;=35, "S", IF(S59&gt;=0, "F")))))</f>
        <v>D</v>
      </c>
      <c r="U59" s="7">
        <v>43</v>
      </c>
      <c r="V59" s="7" t="str">
        <f>IF(U59="-", "Absent", IF(U59&gt;=75, "D", IF(U59&gt;=55, "C", IF(U59&gt;=35, "S", IF(U59&gt;=0, "F")))))</f>
        <v>S</v>
      </c>
      <c r="W59" s="7">
        <v>36</v>
      </c>
      <c r="X59" s="7" t="str">
        <f>IF(W59="-", "Absent", IF(W59&gt;=75, "D", IF(W59&gt;=55, "C", IF(W59&gt;=35, "S", IF(W59&gt;=0, "F")))))</f>
        <v>S</v>
      </c>
      <c r="Y59" s="7">
        <v>48</v>
      </c>
      <c r="Z59" s="7" t="str">
        <f>IF(Y59="-", "AB", IF(Y59&gt;=75, "D", IF(Y59&gt;=55, "C", IF(Y59&gt;=35, "S", IF(Y59&gt;=0, "F")))))</f>
        <v>S</v>
      </c>
      <c r="AA59" s="7">
        <f>SUMIF(G59:Z59, "&lt;&gt;AB")</f>
        <v>562</v>
      </c>
      <c r="AB59" s="7" t="str">
        <f>ROUND(AA59/10, 0)&amp;"%"</f>
        <v>56%</v>
      </c>
      <c r="AC59" s="14" t="s">
        <v>454</v>
      </c>
      <c r="AD59" s="7"/>
      <c r="AE59" s="7">
        <f t="shared" si="100"/>
        <v>4</v>
      </c>
      <c r="AF59" s="7">
        <f t="shared" si="101"/>
        <v>0</v>
      </c>
      <c r="AG59" s="7">
        <f t="shared" si="102"/>
        <v>0</v>
      </c>
      <c r="AH59" s="12"/>
      <c r="AI59" s="14" t="str">
        <f>IF(AG59&gt;0, "Not Completed",
   IF(AC59=10, "First Class",
      IF(AB59&gt;75, IF(AE59&gt;0, "Ordinary Pass", "First Class"),
         IF(AB59&gt;65, IF(AE59&gt;0, "Ordinary Pass", "Second Class"),
            IF(AB59&lt;65, "Ordinary Pass", "")
         )
      )
   )
)</f>
        <v>Ordinary Pass</v>
      </c>
      <c r="AJ59" s="7"/>
      <c r="AK59" s="36" t="str">
        <f t="shared" si="103"/>
        <v>Not Completed</v>
      </c>
    </row>
    <row r="60" spans="2:37" ht="27" customHeight="1">
      <c r="B60" s="28">
        <v>53</v>
      </c>
      <c r="C60" s="29" t="s">
        <v>126</v>
      </c>
      <c r="D60" s="30">
        <v>197564802793</v>
      </c>
      <c r="E60" s="4" t="s">
        <v>144</v>
      </c>
      <c r="F60" s="30" t="s">
        <v>474</v>
      </c>
      <c r="G60" s="7">
        <v>30</v>
      </c>
      <c r="H60" s="7" t="str">
        <f t="shared" ref="H60:H63" si="104">IF(G60="-", "Absent", IF(G60&gt;=75, "D", IF(G60&gt;=55, "C", IF(G60&gt;=35, "S", IF(G60&gt;=0, "F")))))</f>
        <v>F</v>
      </c>
      <c r="I60" s="7">
        <v>52</v>
      </c>
      <c r="J60" s="7" t="str">
        <f t="shared" ref="J60:J63" si="105">IF(I60="-", "Absent", IF(I60&gt;=75, "D", IF(I60&gt;=55, "C", IF(I60&gt;=35, "S", IF(I60&gt;=0, "F")))))</f>
        <v>S</v>
      </c>
      <c r="K60" s="7">
        <v>43</v>
      </c>
      <c r="L60" s="7" t="str">
        <f t="shared" ref="L60:L63" si="106">IF(K60="-", "Absent", IF(K60&gt;=75, "D", IF(K60&gt;=55, "C", IF(K60&gt;=35, "S", IF(K60&gt;=0, "F")))))</f>
        <v>S</v>
      </c>
      <c r="M60" s="7">
        <v>41</v>
      </c>
      <c r="N60" s="7" t="str">
        <f t="shared" ref="N60:N63" si="107">IF(M60="-", "Absent", IF(M60&gt;=75, "D", IF(M60&gt;=55, "C", IF(M60&gt;=35, "S", IF(M60&gt;=0, "F")))))</f>
        <v>S</v>
      </c>
      <c r="O60" s="7">
        <v>16</v>
      </c>
      <c r="P60" s="7" t="str">
        <f t="shared" ref="P60:P63" si="108">IF(O60="-", "Absent", IF(O60&gt;=75, "D", IF(O60&gt;=55, "C", IF(O60&gt;=35, "S", IF(O60&gt;=0, "F")))))</f>
        <v>F</v>
      </c>
      <c r="Q60" s="7">
        <v>40</v>
      </c>
      <c r="R60" s="7" t="str">
        <f t="shared" ref="R60:R63" si="109">IF(Q60="-", "Absent", IF(Q60&gt;=75, "D", IF(Q60&gt;=55, "C", IF(Q60&gt;=35, "S", IF(Q60&gt;=0, "F")))))</f>
        <v>S</v>
      </c>
      <c r="S60" s="7">
        <v>43</v>
      </c>
      <c r="T60" s="7" t="str">
        <f t="shared" ref="T60:T63" si="110">IF(S60="-", "Absent", IF(S60&gt;=75, "D", IF(S60&gt;=55, "C", IF(S60&gt;=35, "S", IF(S60&gt;=0, "F")))))</f>
        <v>S</v>
      </c>
      <c r="U60" s="7">
        <v>36</v>
      </c>
      <c r="V60" s="7" t="str">
        <f t="shared" ref="V60:V63" si="111">IF(U60="-", "Absent", IF(U60&gt;=75, "D", IF(U60&gt;=55, "C", IF(U60&gt;=35, "S", IF(U60&gt;=0, "F")))))</f>
        <v>S</v>
      </c>
      <c r="W60" s="7">
        <v>52</v>
      </c>
      <c r="X60" s="7" t="str">
        <f t="shared" ref="X60:X63" si="112">IF(W60="-", "Absent", IF(W60&gt;=75, "D", IF(W60&gt;=55, "C", IF(W60&gt;=35, "S", IF(W60&gt;=0, "F")))))</f>
        <v>S</v>
      </c>
      <c r="Y60" s="7">
        <v>29</v>
      </c>
      <c r="Z60" s="7" t="str">
        <f t="shared" ref="Z60:Z64" si="113">IF(Y60="-", "AB", IF(Y60&gt;=75, "D", IF(Y60&gt;=55, "C", IF(Y60&gt;=35, "S", IF(Y60&gt;=0, "F")))))</f>
        <v>F</v>
      </c>
      <c r="AA60" s="7">
        <f t="shared" ref="AA60:AA75" si="114">SUMIF(G60:Z60, "&lt;&gt;AB")</f>
        <v>382</v>
      </c>
      <c r="AB60" s="7" t="str">
        <f t="shared" ref="AB60:AB75" si="115">ROUND(AA60/10, 0)&amp;"%"</f>
        <v>38%</v>
      </c>
      <c r="AC60" s="14" t="s">
        <v>453</v>
      </c>
      <c r="AD60" s="7"/>
      <c r="AE60" s="7">
        <f t="shared" si="100"/>
        <v>7</v>
      </c>
      <c r="AF60" s="7">
        <f t="shared" si="101"/>
        <v>2</v>
      </c>
      <c r="AG60" s="7">
        <f t="shared" si="102"/>
        <v>0</v>
      </c>
      <c r="AH60" s="12"/>
      <c r="AI60" s="14" t="s">
        <v>453</v>
      </c>
      <c r="AJ60" s="7"/>
      <c r="AK60" s="36" t="str">
        <f t="shared" si="103"/>
        <v>Not Completed</v>
      </c>
    </row>
    <row r="61" spans="2:37" ht="27" customHeight="1">
      <c r="B61" s="28">
        <v>54</v>
      </c>
      <c r="C61" s="29" t="s">
        <v>419</v>
      </c>
      <c r="D61" s="30">
        <v>197863103147</v>
      </c>
      <c r="E61" s="4" t="s">
        <v>145</v>
      </c>
      <c r="F61" s="30" t="s">
        <v>474</v>
      </c>
      <c r="G61" s="7">
        <v>33</v>
      </c>
      <c r="H61" s="7" t="str">
        <f t="shared" si="104"/>
        <v>F</v>
      </c>
      <c r="I61" s="7">
        <v>53</v>
      </c>
      <c r="J61" s="7" t="str">
        <f t="shared" si="105"/>
        <v>S</v>
      </c>
      <c r="K61" s="7">
        <v>63</v>
      </c>
      <c r="L61" s="7" t="str">
        <f t="shared" si="106"/>
        <v>C</v>
      </c>
      <c r="M61" s="7">
        <v>53</v>
      </c>
      <c r="N61" s="7" t="str">
        <f t="shared" si="107"/>
        <v>S</v>
      </c>
      <c r="O61" s="7">
        <v>51</v>
      </c>
      <c r="P61" s="7" t="str">
        <f t="shared" si="108"/>
        <v>S</v>
      </c>
      <c r="Q61" s="7">
        <v>44</v>
      </c>
      <c r="R61" s="7" t="str">
        <f t="shared" si="109"/>
        <v>S</v>
      </c>
      <c r="S61" s="7">
        <v>45</v>
      </c>
      <c r="T61" s="7" t="str">
        <f t="shared" si="110"/>
        <v>S</v>
      </c>
      <c r="U61" s="7">
        <v>39</v>
      </c>
      <c r="V61" s="7" t="str">
        <f t="shared" si="111"/>
        <v>S</v>
      </c>
      <c r="W61" s="7">
        <v>47</v>
      </c>
      <c r="X61" s="7" t="str">
        <f t="shared" si="112"/>
        <v>S</v>
      </c>
      <c r="Y61" s="7">
        <v>49</v>
      </c>
      <c r="Z61" s="7" t="str">
        <f t="shared" si="113"/>
        <v>S</v>
      </c>
      <c r="AA61" s="7">
        <f t="shared" si="114"/>
        <v>477</v>
      </c>
      <c r="AB61" s="7" t="str">
        <f t="shared" si="115"/>
        <v>48%</v>
      </c>
      <c r="AC61" s="14" t="s">
        <v>15</v>
      </c>
      <c r="AD61" s="7">
        <v>1</v>
      </c>
      <c r="AE61" s="7">
        <f t="shared" si="100"/>
        <v>8</v>
      </c>
      <c r="AF61" s="7">
        <f t="shared" si="101"/>
        <v>0</v>
      </c>
      <c r="AG61" s="7">
        <f t="shared" si="102"/>
        <v>0</v>
      </c>
      <c r="AH61" s="12"/>
      <c r="AI61" s="14" t="s">
        <v>15</v>
      </c>
      <c r="AJ61" s="7">
        <v>1</v>
      </c>
      <c r="AK61" s="36" t="str">
        <f t="shared" si="103"/>
        <v>Not Completed</v>
      </c>
    </row>
    <row r="62" spans="2:37" ht="27" customHeight="1">
      <c r="B62" s="28">
        <v>55</v>
      </c>
      <c r="C62" s="29" t="s">
        <v>420</v>
      </c>
      <c r="D62" s="30">
        <v>198384903866</v>
      </c>
      <c r="E62" s="4" t="s">
        <v>146</v>
      </c>
      <c r="F62" s="30" t="s">
        <v>474</v>
      </c>
      <c r="G62" s="7">
        <v>10</v>
      </c>
      <c r="H62" s="7" t="str">
        <f t="shared" si="104"/>
        <v>F</v>
      </c>
      <c r="I62" s="7">
        <v>21</v>
      </c>
      <c r="J62" s="7" t="str">
        <f t="shared" si="105"/>
        <v>F</v>
      </c>
      <c r="K62" s="7">
        <v>40</v>
      </c>
      <c r="L62" s="7" t="str">
        <f t="shared" si="106"/>
        <v>S</v>
      </c>
      <c r="M62" s="7">
        <v>36</v>
      </c>
      <c r="N62" s="7" t="str">
        <f t="shared" si="107"/>
        <v>S</v>
      </c>
      <c r="O62" s="7">
        <v>22</v>
      </c>
      <c r="P62" s="7" t="str">
        <f t="shared" si="108"/>
        <v>F</v>
      </c>
      <c r="Q62" s="7">
        <v>12</v>
      </c>
      <c r="R62" s="7" t="str">
        <f t="shared" si="109"/>
        <v>F</v>
      </c>
      <c r="S62" s="7">
        <v>15</v>
      </c>
      <c r="T62" s="7" t="str">
        <f t="shared" si="110"/>
        <v>F</v>
      </c>
      <c r="U62" s="7">
        <v>20</v>
      </c>
      <c r="V62" s="7" t="str">
        <f t="shared" si="111"/>
        <v>F</v>
      </c>
      <c r="W62" s="7">
        <v>32</v>
      </c>
      <c r="X62" s="7" t="str">
        <f t="shared" si="112"/>
        <v>F</v>
      </c>
      <c r="Y62" s="7" t="s">
        <v>6</v>
      </c>
      <c r="Z62" s="7" t="str">
        <f t="shared" si="113"/>
        <v>AB</v>
      </c>
      <c r="AA62" s="7">
        <f t="shared" si="114"/>
        <v>208</v>
      </c>
      <c r="AB62" s="7" t="str">
        <f t="shared" si="115"/>
        <v>21%</v>
      </c>
      <c r="AC62" s="14" t="s">
        <v>453</v>
      </c>
      <c r="AD62" s="7"/>
      <c r="AE62" s="7">
        <f t="shared" si="100"/>
        <v>2</v>
      </c>
      <c r="AF62" s="7">
        <f t="shared" si="101"/>
        <v>6</v>
      </c>
      <c r="AG62" s="7">
        <f t="shared" si="102"/>
        <v>1</v>
      </c>
      <c r="AH62" s="12"/>
      <c r="AI62" s="14" t="s">
        <v>453</v>
      </c>
      <c r="AJ62" s="7"/>
      <c r="AK62" s="36" t="str">
        <f t="shared" si="103"/>
        <v>Not Completed</v>
      </c>
    </row>
    <row r="63" spans="2:37" ht="27" customHeight="1">
      <c r="B63" s="28">
        <v>56</v>
      </c>
      <c r="C63" s="29" t="s">
        <v>149</v>
      </c>
      <c r="D63" s="37" t="s">
        <v>127</v>
      </c>
      <c r="E63" s="4" t="s">
        <v>147</v>
      </c>
      <c r="F63" s="30" t="s">
        <v>474</v>
      </c>
      <c r="G63" s="7">
        <v>70</v>
      </c>
      <c r="H63" s="7" t="str">
        <f t="shared" si="104"/>
        <v>C</v>
      </c>
      <c r="I63" s="7">
        <v>71</v>
      </c>
      <c r="J63" s="7" t="str">
        <f t="shared" si="105"/>
        <v>C</v>
      </c>
      <c r="K63" s="7">
        <v>83</v>
      </c>
      <c r="L63" s="7" t="str">
        <f t="shared" si="106"/>
        <v>D</v>
      </c>
      <c r="M63" s="7">
        <v>58</v>
      </c>
      <c r="N63" s="7" t="str">
        <f t="shared" si="107"/>
        <v>C</v>
      </c>
      <c r="O63" s="7">
        <v>63</v>
      </c>
      <c r="P63" s="7" t="str">
        <f t="shared" si="108"/>
        <v>C</v>
      </c>
      <c r="Q63" s="7">
        <v>33</v>
      </c>
      <c r="R63" s="7" t="str">
        <f t="shared" si="109"/>
        <v>F</v>
      </c>
      <c r="S63" s="7">
        <v>42</v>
      </c>
      <c r="T63" s="7" t="str">
        <f t="shared" si="110"/>
        <v>S</v>
      </c>
      <c r="U63" s="7">
        <v>40</v>
      </c>
      <c r="V63" s="7" t="str">
        <f t="shared" si="111"/>
        <v>S</v>
      </c>
      <c r="W63" s="7">
        <v>53</v>
      </c>
      <c r="X63" s="7" t="str">
        <f t="shared" si="112"/>
        <v>S</v>
      </c>
      <c r="Y63" s="7">
        <v>34</v>
      </c>
      <c r="Z63" s="7" t="str">
        <f t="shared" si="113"/>
        <v>F</v>
      </c>
      <c r="AA63" s="7">
        <f t="shared" si="114"/>
        <v>547</v>
      </c>
      <c r="AB63" s="7" t="str">
        <f t="shared" si="115"/>
        <v>55%</v>
      </c>
      <c r="AC63" s="14" t="s">
        <v>15</v>
      </c>
      <c r="AD63" s="7" t="s">
        <v>466</v>
      </c>
      <c r="AE63" s="7">
        <f t="shared" si="100"/>
        <v>3</v>
      </c>
      <c r="AF63" s="7">
        <f t="shared" si="101"/>
        <v>2</v>
      </c>
      <c r="AG63" s="7">
        <f t="shared" si="102"/>
        <v>0</v>
      </c>
      <c r="AH63" s="12"/>
      <c r="AI63" s="14" t="s">
        <v>15</v>
      </c>
      <c r="AJ63" s="7" t="s">
        <v>466</v>
      </c>
      <c r="AK63" s="36" t="str">
        <f t="shared" si="103"/>
        <v>Not Completed</v>
      </c>
    </row>
    <row r="64" spans="2:37" ht="27" customHeight="1">
      <c r="B64" s="28">
        <v>57</v>
      </c>
      <c r="C64" s="29" t="s">
        <v>128</v>
      </c>
      <c r="D64" s="30" t="s">
        <v>129</v>
      </c>
      <c r="E64" s="4" t="s">
        <v>148</v>
      </c>
      <c r="F64" s="30" t="s">
        <v>474</v>
      </c>
      <c r="G64" s="7" t="s">
        <v>6</v>
      </c>
      <c r="H64" s="7" t="str">
        <f t="shared" ref="H64:X64" si="116">IF(G64="-", "AB", IF(G64&gt;=75, "D", IF(G64&gt;=55, "C", IF(G64&gt;=35, "S", IF(G64&gt;=0, "F")))))</f>
        <v>AB</v>
      </c>
      <c r="I64" s="7" t="s">
        <v>6</v>
      </c>
      <c r="J64" s="7" t="str">
        <f t="shared" si="116"/>
        <v>AB</v>
      </c>
      <c r="K64" s="7" t="s">
        <v>6</v>
      </c>
      <c r="L64" s="7" t="str">
        <f t="shared" si="116"/>
        <v>AB</v>
      </c>
      <c r="M64" s="7" t="s">
        <v>6</v>
      </c>
      <c r="N64" s="7" t="str">
        <f t="shared" si="116"/>
        <v>AB</v>
      </c>
      <c r="O64" s="7" t="s">
        <v>6</v>
      </c>
      <c r="P64" s="7" t="str">
        <f t="shared" si="116"/>
        <v>AB</v>
      </c>
      <c r="Q64" s="7" t="s">
        <v>6</v>
      </c>
      <c r="R64" s="7" t="str">
        <f t="shared" si="116"/>
        <v>AB</v>
      </c>
      <c r="S64" s="7" t="s">
        <v>6</v>
      </c>
      <c r="T64" s="7" t="str">
        <f t="shared" si="116"/>
        <v>AB</v>
      </c>
      <c r="U64" s="7" t="s">
        <v>6</v>
      </c>
      <c r="V64" s="7" t="str">
        <f t="shared" si="116"/>
        <v>AB</v>
      </c>
      <c r="W64" s="7" t="s">
        <v>6</v>
      </c>
      <c r="X64" s="7" t="str">
        <f t="shared" si="116"/>
        <v>AB</v>
      </c>
      <c r="Y64" s="7" t="s">
        <v>6</v>
      </c>
      <c r="Z64" s="7" t="str">
        <f t="shared" si="113"/>
        <v>AB</v>
      </c>
      <c r="AA64" s="7">
        <f t="shared" si="114"/>
        <v>0</v>
      </c>
      <c r="AB64" s="7" t="str">
        <f t="shared" si="115"/>
        <v>0%</v>
      </c>
      <c r="AC64" s="14" t="s">
        <v>403</v>
      </c>
      <c r="AD64" s="7"/>
      <c r="AE64" s="7">
        <f t="shared" si="100"/>
        <v>0</v>
      </c>
      <c r="AF64" s="7">
        <f t="shared" si="101"/>
        <v>0</v>
      </c>
      <c r="AG64" s="7">
        <f t="shared" si="102"/>
        <v>10</v>
      </c>
      <c r="AH64" s="12"/>
      <c r="AI64" s="14" t="s">
        <v>403</v>
      </c>
      <c r="AJ64" s="7"/>
      <c r="AK64" s="36" t="str">
        <f t="shared" si="103"/>
        <v>Not Completed</v>
      </c>
    </row>
    <row r="65" spans="2:37" ht="27" customHeight="1">
      <c r="B65" s="28">
        <v>58</v>
      </c>
      <c r="C65" s="38" t="s">
        <v>150</v>
      </c>
      <c r="D65" s="34" t="s">
        <v>151</v>
      </c>
      <c r="E65" s="4" t="s">
        <v>170</v>
      </c>
      <c r="F65" s="34" t="s">
        <v>475</v>
      </c>
      <c r="G65" s="7">
        <v>45</v>
      </c>
      <c r="H65" s="7" t="str">
        <f>IF(G65="-", "Absent", IF(G65&gt;=75, "D", IF(G65&gt;=55, "C", IF(G65&gt;=35, "S", IF(G65&gt;=0, "F")))))</f>
        <v>S</v>
      </c>
      <c r="I65" s="7">
        <v>69</v>
      </c>
      <c r="J65" s="7" t="str">
        <f>IF(I65="-", "Absent", IF(I65&gt;=75, "D", IF(I65&gt;=55, "C", IF(I65&gt;=35, "S", IF(I65&gt;=0, "F")))))</f>
        <v>C</v>
      </c>
      <c r="K65" s="7">
        <v>70</v>
      </c>
      <c r="L65" s="7" t="str">
        <f>IF(K65="-", "Absent", IF(K65&gt;=75, "D", IF(K65&gt;=55, "C", IF(K65&gt;=35, "S", IF(K65&gt;=0, "F")))))</f>
        <v>C</v>
      </c>
      <c r="M65" s="7">
        <v>79</v>
      </c>
      <c r="N65" s="7" t="str">
        <f>IF(M65="-", "Absent", IF(M65&gt;=75, "D", IF(M65&gt;=55, "C", IF(M65&gt;=35, "S", IF(M65&gt;=0, "F")))))</f>
        <v>D</v>
      </c>
      <c r="O65" s="7">
        <v>43</v>
      </c>
      <c r="P65" s="7" t="str">
        <f>IF(O65="-", "Absent", IF(O65&gt;=75, "D", IF(O65&gt;=55, "C", IF(O65&gt;=35, "S", IF(O65&gt;=0, "F")))))</f>
        <v>S</v>
      </c>
      <c r="Q65" s="7">
        <v>45</v>
      </c>
      <c r="R65" s="7" t="str">
        <f>IF(Q65="-", "Absent", IF(Q65&gt;=75, "D", IF(Q65&gt;=55, "C", IF(Q65&gt;=35, "S", IF(Q65&gt;=0, "F")))))</f>
        <v>S</v>
      </c>
      <c r="S65" s="7">
        <v>67</v>
      </c>
      <c r="T65" s="7" t="str">
        <f>IF(S65="-", "Absent", IF(S65&gt;=75, "D", IF(S65&gt;=55, "C", IF(S65&gt;=35, "S", IF(S65&gt;=0, "F")))))</f>
        <v>C</v>
      </c>
      <c r="U65" s="7">
        <v>47</v>
      </c>
      <c r="V65" s="7" t="str">
        <f>IF(U65="-", "Absent", IF(U65&gt;=75, "D", IF(U65&gt;=55, "C", IF(U65&gt;=35, "S", IF(U65&gt;=0, "F")))))</f>
        <v>S</v>
      </c>
      <c r="W65" s="7">
        <v>54</v>
      </c>
      <c r="X65" s="7" t="str">
        <f>IF(W65="-", "Absent", IF(W65&gt;=75, "D", IF(W65&gt;=55, "C", IF(W65&gt;=35, "S", IF(W65&gt;=0, "F")))))</f>
        <v>S</v>
      </c>
      <c r="Y65" s="7">
        <v>36</v>
      </c>
      <c r="Z65" s="7" t="str">
        <f>IF(Y65="-", "AB", IF(Y65&gt;=75, "D", IF(Y65&gt;=55, "C", IF(Y65&gt;=35, "S", IF(Y65&gt;=0, "F")))))</f>
        <v>S</v>
      </c>
      <c r="AA65" s="7">
        <f t="shared" si="114"/>
        <v>555</v>
      </c>
      <c r="AB65" s="7" t="str">
        <f t="shared" si="115"/>
        <v>56%</v>
      </c>
      <c r="AC65" s="14" t="s">
        <v>454</v>
      </c>
      <c r="AD65" s="7"/>
      <c r="AE65" s="7">
        <f t="shared" si="100"/>
        <v>5</v>
      </c>
      <c r="AF65" s="7">
        <f t="shared" si="101"/>
        <v>0</v>
      </c>
      <c r="AG65" s="7">
        <f t="shared" si="102"/>
        <v>0</v>
      </c>
      <c r="AH65" s="12"/>
      <c r="AI65" s="14" t="str">
        <f>IF(AG65&gt;0, "Not Completed",
   IF(AC65=10, "First Class",
      IF(AB65&gt;75, IF(AE65&gt;0, "Ordinary Pass", "First Class"),
         IF(AB65&gt;65, IF(AE65&gt;0, "Ordinary Pass", "Second Class"),
            IF(AB65&lt;65, "Ordinary Pass", "")
         )
      )
   )
)</f>
        <v>Ordinary Pass</v>
      </c>
      <c r="AJ65" s="7"/>
      <c r="AK65" s="36" t="str">
        <f t="shared" si="103"/>
        <v>Not Completed</v>
      </c>
    </row>
    <row r="66" spans="2:37" ht="27" customHeight="1">
      <c r="B66" s="28">
        <v>59</v>
      </c>
      <c r="C66" s="29" t="s">
        <v>152</v>
      </c>
      <c r="D66" s="30">
        <v>199269900101</v>
      </c>
      <c r="E66" s="4" t="s">
        <v>172</v>
      </c>
      <c r="F66" s="34" t="s">
        <v>475</v>
      </c>
      <c r="G66" s="7">
        <v>34</v>
      </c>
      <c r="H66" s="7" t="str">
        <f t="shared" ref="H66:H75" si="117">IF(G66="-", "Absent", IF(G66&gt;=75, "D", IF(G66&gt;=55, "C", IF(G66&gt;=35, "S", IF(G66&gt;=0, "F")))))</f>
        <v>F</v>
      </c>
      <c r="I66" s="7">
        <v>47</v>
      </c>
      <c r="J66" s="7" t="str">
        <f t="shared" ref="J66:J75" si="118">IF(I66="-", "Absent", IF(I66&gt;=75, "D", IF(I66&gt;=55, "C", IF(I66&gt;=35, "S", IF(I66&gt;=0, "F")))))</f>
        <v>S</v>
      </c>
      <c r="K66" s="7">
        <v>66</v>
      </c>
      <c r="L66" s="7" t="str">
        <f t="shared" ref="L66:L75" si="119">IF(K66="-", "Absent", IF(K66&gt;=75, "D", IF(K66&gt;=55, "C", IF(K66&gt;=35, "S", IF(K66&gt;=0, "F")))))</f>
        <v>C</v>
      </c>
      <c r="M66" s="7">
        <v>64</v>
      </c>
      <c r="N66" s="7" t="str">
        <f t="shared" ref="N66:N75" si="120">IF(M66="-", "Absent", IF(M66&gt;=75, "D", IF(M66&gt;=55, "C", IF(M66&gt;=35, "S", IF(M66&gt;=0, "F")))))</f>
        <v>C</v>
      </c>
      <c r="O66" s="7">
        <v>31</v>
      </c>
      <c r="P66" s="7" t="str">
        <f t="shared" ref="P66:P75" si="121">IF(O66="-", "Absent", IF(O66&gt;=75, "D", IF(O66&gt;=55, "C", IF(O66&gt;=35, "S", IF(O66&gt;=0, "F")))))</f>
        <v>F</v>
      </c>
      <c r="Q66" s="7">
        <v>38</v>
      </c>
      <c r="R66" s="7" t="str">
        <f t="shared" ref="R66:R75" si="122">IF(Q66="-", "Absent", IF(Q66&gt;=75, "D", IF(Q66&gt;=55, "C", IF(Q66&gt;=35, "S", IF(Q66&gt;=0, "F")))))</f>
        <v>S</v>
      </c>
      <c r="S66" s="7">
        <v>51</v>
      </c>
      <c r="T66" s="7" t="str">
        <f t="shared" ref="T66:T75" si="123">IF(S66="-", "Absent", IF(S66&gt;=75, "D", IF(S66&gt;=55, "C", IF(S66&gt;=35, "S", IF(S66&gt;=0, "F")))))</f>
        <v>S</v>
      </c>
      <c r="U66" s="7">
        <v>70</v>
      </c>
      <c r="V66" s="7" t="str">
        <f t="shared" ref="V66:V75" si="124">IF(U66="-", "Absent", IF(U66&gt;=75, "D", IF(U66&gt;=55, "C", IF(U66&gt;=35, "S", IF(U66&gt;=0, "F")))))</f>
        <v>C</v>
      </c>
      <c r="W66" s="7">
        <v>52</v>
      </c>
      <c r="X66" s="7" t="str">
        <f t="shared" ref="X66:X75" si="125">IF(W66="-", "Absent", IF(W66&gt;=75, "D", IF(W66&gt;=55, "C", IF(W66&gt;=35, "S", IF(W66&gt;=0, "F")))))</f>
        <v>S</v>
      </c>
      <c r="Y66" s="7">
        <v>26</v>
      </c>
      <c r="Z66" s="7" t="str">
        <f t="shared" ref="Z66:Z75" si="126">IF(Y66="-", "AB", IF(Y66&gt;=75, "D", IF(Y66&gt;=55, "C", IF(Y66&gt;=35, "S", IF(Y66&gt;=0, "F")))))</f>
        <v>F</v>
      </c>
      <c r="AA66" s="7">
        <f t="shared" si="114"/>
        <v>479</v>
      </c>
      <c r="AB66" s="7" t="str">
        <f t="shared" si="115"/>
        <v>48%</v>
      </c>
      <c r="AC66" s="14" t="s">
        <v>453</v>
      </c>
      <c r="AD66" s="7"/>
      <c r="AE66" s="7">
        <f t="shared" si="100"/>
        <v>4</v>
      </c>
      <c r="AF66" s="7">
        <f t="shared" si="101"/>
        <v>2</v>
      </c>
      <c r="AG66" s="7">
        <f t="shared" si="102"/>
        <v>0</v>
      </c>
      <c r="AH66" s="12"/>
      <c r="AI66" s="14" t="s">
        <v>453</v>
      </c>
      <c r="AJ66" s="7"/>
      <c r="AK66" s="36" t="str">
        <f t="shared" si="103"/>
        <v>Not Completed</v>
      </c>
    </row>
    <row r="67" spans="2:37" ht="27" customHeight="1">
      <c r="B67" s="28">
        <v>60</v>
      </c>
      <c r="C67" s="29" t="s">
        <v>421</v>
      </c>
      <c r="D67" s="30">
        <v>199480802845</v>
      </c>
      <c r="E67" s="4" t="s">
        <v>173</v>
      </c>
      <c r="F67" s="34" t="s">
        <v>475</v>
      </c>
      <c r="G67" s="7">
        <v>35</v>
      </c>
      <c r="H67" s="7" t="str">
        <f t="shared" si="117"/>
        <v>S</v>
      </c>
      <c r="I67" s="7">
        <v>59</v>
      </c>
      <c r="J67" s="7" t="str">
        <f t="shared" si="118"/>
        <v>C</v>
      </c>
      <c r="K67" s="7">
        <v>54</v>
      </c>
      <c r="L67" s="7" t="str">
        <f t="shared" si="119"/>
        <v>S</v>
      </c>
      <c r="M67" s="7">
        <v>62</v>
      </c>
      <c r="N67" s="7" t="str">
        <f t="shared" si="120"/>
        <v>C</v>
      </c>
      <c r="O67" s="7">
        <v>49</v>
      </c>
      <c r="P67" s="7" t="str">
        <f t="shared" si="121"/>
        <v>S</v>
      </c>
      <c r="Q67" s="7">
        <v>39</v>
      </c>
      <c r="R67" s="7" t="str">
        <f t="shared" si="122"/>
        <v>S</v>
      </c>
      <c r="S67" s="7">
        <v>66</v>
      </c>
      <c r="T67" s="7" t="str">
        <f t="shared" si="123"/>
        <v>C</v>
      </c>
      <c r="U67" s="7">
        <v>53</v>
      </c>
      <c r="V67" s="7" t="str">
        <f t="shared" si="124"/>
        <v>S</v>
      </c>
      <c r="W67" s="7">
        <v>72</v>
      </c>
      <c r="X67" s="7" t="str">
        <f t="shared" si="125"/>
        <v>C</v>
      </c>
      <c r="Y67" s="7">
        <v>48</v>
      </c>
      <c r="Z67" s="7" t="str">
        <f t="shared" si="126"/>
        <v>S</v>
      </c>
      <c r="AA67" s="7">
        <f t="shared" si="114"/>
        <v>537</v>
      </c>
      <c r="AB67" s="7" t="str">
        <f t="shared" si="115"/>
        <v>54%</v>
      </c>
      <c r="AC67" s="14" t="s">
        <v>454</v>
      </c>
      <c r="AD67" s="7"/>
      <c r="AE67" s="7">
        <f t="shared" si="100"/>
        <v>5</v>
      </c>
      <c r="AF67" s="7">
        <f t="shared" si="101"/>
        <v>0</v>
      </c>
      <c r="AG67" s="7">
        <f t="shared" si="102"/>
        <v>0</v>
      </c>
      <c r="AH67" s="12"/>
      <c r="AI67" s="14" t="str">
        <f>IF(AG67&gt;0, "Not Completed",
   IF(AC67=10, "First Class",
      IF(AB67&gt;75, IF(AE67&gt;0, "Ordinary Pass", "First Class"),
         IF(AB67&gt;65, IF(AE67&gt;0, "Ordinary Pass", "Second Class"),
            IF(AB67&lt;65, "Ordinary Pass", "")
         )
      )
   )
)</f>
        <v>Ordinary Pass</v>
      </c>
      <c r="AJ67" s="7"/>
      <c r="AK67" s="36" t="str">
        <f t="shared" si="103"/>
        <v>Not Completed</v>
      </c>
    </row>
    <row r="68" spans="2:37" ht="27" customHeight="1">
      <c r="B68" s="28">
        <v>61</v>
      </c>
      <c r="C68" s="29" t="s">
        <v>422</v>
      </c>
      <c r="D68" s="30">
        <v>199051203874</v>
      </c>
      <c r="E68" s="4" t="s">
        <v>174</v>
      </c>
      <c r="F68" s="34" t="s">
        <v>475</v>
      </c>
      <c r="G68" s="7">
        <v>71</v>
      </c>
      <c r="H68" s="7" t="str">
        <f t="shared" si="117"/>
        <v>C</v>
      </c>
      <c r="I68" s="7">
        <v>91</v>
      </c>
      <c r="J68" s="7" t="str">
        <f t="shared" si="118"/>
        <v>D</v>
      </c>
      <c r="K68" s="7">
        <v>96</v>
      </c>
      <c r="L68" s="7" t="str">
        <f t="shared" si="119"/>
        <v>D</v>
      </c>
      <c r="M68" s="7">
        <v>91</v>
      </c>
      <c r="N68" s="7" t="str">
        <f t="shared" si="120"/>
        <v>D</v>
      </c>
      <c r="O68" s="7">
        <v>59</v>
      </c>
      <c r="P68" s="7" t="str">
        <f t="shared" si="121"/>
        <v>C</v>
      </c>
      <c r="Q68" s="7">
        <v>85</v>
      </c>
      <c r="R68" s="7" t="str">
        <f t="shared" si="122"/>
        <v>D</v>
      </c>
      <c r="S68" s="7">
        <v>86</v>
      </c>
      <c r="T68" s="7" t="str">
        <f t="shared" si="123"/>
        <v>D</v>
      </c>
      <c r="U68" s="7">
        <v>66</v>
      </c>
      <c r="V68" s="7" t="str">
        <f t="shared" si="124"/>
        <v>C</v>
      </c>
      <c r="W68" s="7">
        <v>81</v>
      </c>
      <c r="X68" s="7" t="str">
        <f t="shared" si="125"/>
        <v>D</v>
      </c>
      <c r="Y68" s="7">
        <v>57</v>
      </c>
      <c r="Z68" s="7" t="str">
        <f t="shared" si="126"/>
        <v>C</v>
      </c>
      <c r="AA68" s="7">
        <f t="shared" si="114"/>
        <v>783</v>
      </c>
      <c r="AB68" s="7" t="str">
        <f t="shared" si="115"/>
        <v>78%</v>
      </c>
      <c r="AC68" s="14" t="s">
        <v>470</v>
      </c>
      <c r="AD68" s="7"/>
      <c r="AE68" s="7">
        <f t="shared" si="100"/>
        <v>0</v>
      </c>
      <c r="AF68" s="7">
        <f t="shared" si="101"/>
        <v>0</v>
      </c>
      <c r="AG68" s="7">
        <f t="shared" si="102"/>
        <v>0</v>
      </c>
      <c r="AH68" s="12"/>
      <c r="AI68" s="14" t="str">
        <f>IF(AG68&gt;0, "Not Completed",
   IF(AC68=10, "First Class",
      IF(AB68&gt;75, IF(AE68&gt;0, "Ordinary Pass", "First Class"),
         IF(AB68&gt;65, IF(AE68&gt;0, "Ordinary Pass", "Second Class"),
            IF(AB68&lt;65, "Ordinary Pass", "")
         )
      )
   )
)</f>
        <v>First Class</v>
      </c>
      <c r="AJ68" s="7"/>
      <c r="AK68" s="32" t="str">
        <f t="shared" si="103"/>
        <v>Not Completed</v>
      </c>
    </row>
    <row r="69" spans="2:37" ht="27" customHeight="1">
      <c r="B69" s="28">
        <v>62</v>
      </c>
      <c r="C69" s="29" t="s">
        <v>423</v>
      </c>
      <c r="D69" s="30" t="s">
        <v>153</v>
      </c>
      <c r="E69" s="4" t="s">
        <v>175</v>
      </c>
      <c r="F69" s="34" t="s">
        <v>475</v>
      </c>
      <c r="G69" s="7">
        <v>52</v>
      </c>
      <c r="H69" s="7" t="str">
        <f t="shared" si="117"/>
        <v>S</v>
      </c>
      <c r="I69" s="7">
        <v>53</v>
      </c>
      <c r="J69" s="7" t="str">
        <f t="shared" si="118"/>
        <v>S</v>
      </c>
      <c r="K69" s="7">
        <v>60</v>
      </c>
      <c r="L69" s="7" t="str">
        <f t="shared" si="119"/>
        <v>C</v>
      </c>
      <c r="M69" s="7">
        <v>51</v>
      </c>
      <c r="N69" s="7" t="str">
        <f t="shared" si="120"/>
        <v>S</v>
      </c>
      <c r="O69" s="7">
        <v>57</v>
      </c>
      <c r="P69" s="7" t="str">
        <f t="shared" si="121"/>
        <v>C</v>
      </c>
      <c r="Q69" s="7">
        <v>22</v>
      </c>
      <c r="R69" s="7" t="str">
        <f t="shared" si="122"/>
        <v>F</v>
      </c>
      <c r="S69" s="7">
        <v>54</v>
      </c>
      <c r="T69" s="7" t="str">
        <f t="shared" si="123"/>
        <v>S</v>
      </c>
      <c r="U69" s="7">
        <v>58</v>
      </c>
      <c r="V69" s="7" t="str">
        <f t="shared" si="124"/>
        <v>C</v>
      </c>
      <c r="W69" s="7">
        <v>57</v>
      </c>
      <c r="X69" s="7" t="str">
        <f t="shared" si="125"/>
        <v>C</v>
      </c>
      <c r="Y69" s="7">
        <v>13</v>
      </c>
      <c r="Z69" s="7" t="str">
        <f t="shared" si="126"/>
        <v>F</v>
      </c>
      <c r="AA69" s="7">
        <f t="shared" si="114"/>
        <v>477</v>
      </c>
      <c r="AB69" s="7" t="str">
        <f t="shared" si="115"/>
        <v>48%</v>
      </c>
      <c r="AC69" s="14" t="s">
        <v>15</v>
      </c>
      <c r="AD69" s="7" t="s">
        <v>460</v>
      </c>
      <c r="AE69" s="7">
        <f t="shared" si="100"/>
        <v>3</v>
      </c>
      <c r="AF69" s="7">
        <f t="shared" si="101"/>
        <v>2</v>
      </c>
      <c r="AG69" s="7">
        <f t="shared" si="102"/>
        <v>0</v>
      </c>
      <c r="AH69" s="12"/>
      <c r="AI69" s="14" t="s">
        <v>15</v>
      </c>
      <c r="AJ69" s="7" t="s">
        <v>460</v>
      </c>
      <c r="AK69" s="32" t="str">
        <f t="shared" si="103"/>
        <v>Not Completed</v>
      </c>
    </row>
    <row r="70" spans="2:37" ht="27" customHeight="1">
      <c r="B70" s="28">
        <v>63</v>
      </c>
      <c r="C70" s="29" t="s">
        <v>424</v>
      </c>
      <c r="D70" s="30">
        <v>199781900529</v>
      </c>
      <c r="E70" s="4" t="s">
        <v>176</v>
      </c>
      <c r="F70" s="34" t="s">
        <v>475</v>
      </c>
      <c r="G70" s="7">
        <v>49</v>
      </c>
      <c r="H70" s="7" t="str">
        <f t="shared" si="117"/>
        <v>S</v>
      </c>
      <c r="I70" s="7">
        <v>89</v>
      </c>
      <c r="J70" s="7" t="str">
        <f t="shared" si="118"/>
        <v>D</v>
      </c>
      <c r="K70" s="7">
        <v>80</v>
      </c>
      <c r="L70" s="7" t="str">
        <f t="shared" si="119"/>
        <v>D</v>
      </c>
      <c r="M70" s="7">
        <v>77</v>
      </c>
      <c r="N70" s="7" t="str">
        <f t="shared" si="120"/>
        <v>D</v>
      </c>
      <c r="O70" s="7">
        <v>55</v>
      </c>
      <c r="P70" s="7" t="str">
        <f t="shared" si="121"/>
        <v>C</v>
      </c>
      <c r="Q70" s="7">
        <v>75</v>
      </c>
      <c r="R70" s="7" t="str">
        <f t="shared" si="122"/>
        <v>D</v>
      </c>
      <c r="S70" s="7" t="s">
        <v>6</v>
      </c>
      <c r="T70" s="7" t="str">
        <f t="shared" ref="T70" si="127">IF(S70="-", "AB", IF(S70&gt;=75, "D", IF(S70&gt;=55, "C", IF(S70&gt;=35, "S", IF(S70&gt;=0, "F")))))</f>
        <v>AB</v>
      </c>
      <c r="U70" s="7" t="s">
        <v>6</v>
      </c>
      <c r="V70" s="7" t="str">
        <f t="shared" ref="V70" si="128">IF(U70="-", "AB", IF(U70&gt;=75, "D", IF(U70&gt;=55, "C", IF(U70&gt;=35, "S", IF(U70&gt;=0, "F")))))</f>
        <v>AB</v>
      </c>
      <c r="W70" s="7" t="s">
        <v>6</v>
      </c>
      <c r="X70" s="7" t="str">
        <f t="shared" ref="X70" si="129">IF(W70="-", "AB", IF(W70&gt;=75, "D", IF(W70&gt;=55, "C", IF(W70&gt;=35, "S", IF(W70&gt;=0, "F")))))</f>
        <v>AB</v>
      </c>
      <c r="Y70" s="7">
        <v>56</v>
      </c>
      <c r="Z70" s="7" t="str">
        <f t="shared" si="126"/>
        <v>C</v>
      </c>
      <c r="AA70" s="7">
        <f t="shared" si="114"/>
        <v>481</v>
      </c>
      <c r="AB70" s="7" t="str">
        <f t="shared" si="115"/>
        <v>48%</v>
      </c>
      <c r="AC70" s="14" t="str">
        <f t="shared" ref="AC70" si="130">IF(AA70&gt;0, "Not Completed",
   IF(W70=10, "First Class",
      IF(V70&gt;75, IF(Y70&gt;0, "Ordinary Pass", "First Class"),
         IF(V70&gt;65, IF(Y70&gt;0, "Ordinary Pass", "Second Class"),
            IF(V70&lt;65, "Ordinary Pass", "")
         )
      )
   )
)</f>
        <v>Not Completed</v>
      </c>
      <c r="AD70" s="7"/>
      <c r="AE70" s="7">
        <f t="shared" si="100"/>
        <v>0</v>
      </c>
      <c r="AF70" s="7">
        <f t="shared" si="101"/>
        <v>0</v>
      </c>
      <c r="AG70" s="7">
        <f t="shared" si="102"/>
        <v>3</v>
      </c>
      <c r="AH70" s="12"/>
      <c r="AI70" s="14" t="str">
        <f>IF(AG70&gt;0, "Not Completed",
   IF(AC70=10, "First Class",
      IF(AB70&gt;75, IF(AE70&gt;0, "Ordinary Pass", "First Class"),
         IF(AB70&gt;65, IF(AE70&gt;0, "Ordinary Pass", "Second Class"),
            IF(AB70&lt;65, "Ordinary Pass", "")
         )
      )
   )
)</f>
        <v>Not Completed</v>
      </c>
      <c r="AJ70" s="7"/>
      <c r="AK70" s="32" t="str">
        <f t="shared" si="103"/>
        <v>Not Completed</v>
      </c>
    </row>
    <row r="71" spans="2:37" ht="27" customHeight="1">
      <c r="B71" s="28">
        <v>64</v>
      </c>
      <c r="C71" s="29" t="s">
        <v>154</v>
      </c>
      <c r="D71" s="30">
        <v>797673986</v>
      </c>
      <c r="E71" s="4" t="s">
        <v>177</v>
      </c>
      <c r="F71" s="34" t="s">
        <v>475</v>
      </c>
      <c r="G71" s="7">
        <v>58</v>
      </c>
      <c r="H71" s="7" t="str">
        <f t="shared" si="117"/>
        <v>C</v>
      </c>
      <c r="I71" s="7">
        <v>54</v>
      </c>
      <c r="J71" s="7" t="str">
        <f t="shared" si="118"/>
        <v>S</v>
      </c>
      <c r="K71" s="7">
        <v>64</v>
      </c>
      <c r="L71" s="7" t="str">
        <f t="shared" si="119"/>
        <v>C</v>
      </c>
      <c r="M71" s="7">
        <v>70</v>
      </c>
      <c r="N71" s="7" t="str">
        <f t="shared" si="120"/>
        <v>C</v>
      </c>
      <c r="O71" s="7">
        <v>55</v>
      </c>
      <c r="P71" s="7" t="str">
        <f t="shared" si="121"/>
        <v>C</v>
      </c>
      <c r="Q71" s="7">
        <v>42</v>
      </c>
      <c r="R71" s="7" t="str">
        <f t="shared" si="122"/>
        <v>S</v>
      </c>
      <c r="S71" s="7">
        <v>41</v>
      </c>
      <c r="T71" s="7" t="str">
        <f t="shared" si="123"/>
        <v>S</v>
      </c>
      <c r="U71" s="7">
        <v>67</v>
      </c>
      <c r="V71" s="7" t="str">
        <f t="shared" si="124"/>
        <v>C</v>
      </c>
      <c r="W71" s="7">
        <v>52</v>
      </c>
      <c r="X71" s="7" t="str">
        <f t="shared" si="125"/>
        <v>S</v>
      </c>
      <c r="Y71" s="7">
        <v>35</v>
      </c>
      <c r="Z71" s="7" t="str">
        <f t="shared" si="126"/>
        <v>S</v>
      </c>
      <c r="AA71" s="7">
        <f t="shared" si="114"/>
        <v>538</v>
      </c>
      <c r="AB71" s="7" t="str">
        <f t="shared" si="115"/>
        <v>54%</v>
      </c>
      <c r="AC71" s="14" t="s">
        <v>454</v>
      </c>
      <c r="AD71" s="7"/>
      <c r="AE71" s="7">
        <f t="shared" si="100"/>
        <v>5</v>
      </c>
      <c r="AF71" s="7">
        <f t="shared" si="101"/>
        <v>0</v>
      </c>
      <c r="AG71" s="7">
        <f t="shared" si="102"/>
        <v>0</v>
      </c>
      <c r="AH71" s="12"/>
      <c r="AI71" s="14" t="str">
        <f>IF(AG71&gt;0, "Not Completed",
   IF(AC71=10, "First Class",
      IF(AB71&gt;75, IF(AE71&gt;0, "Ordinary Pass", "First Class"),
         IF(AB71&gt;65, IF(AE71&gt;0, "Ordinary Pass", "Second Class"),
            IF(AB71&lt;65, "Ordinary Pass", "")
         )
      )
   )
)</f>
        <v>Ordinary Pass</v>
      </c>
      <c r="AJ71" s="7"/>
      <c r="AK71" s="32" t="str">
        <f t="shared" si="103"/>
        <v>Not Completed</v>
      </c>
    </row>
    <row r="72" spans="2:37" ht="27" customHeight="1">
      <c r="B72" s="28">
        <v>65</v>
      </c>
      <c r="C72" s="29" t="s">
        <v>155</v>
      </c>
      <c r="D72" s="30" t="s">
        <v>156</v>
      </c>
      <c r="E72" s="4" t="s">
        <v>178</v>
      </c>
      <c r="F72" s="34" t="s">
        <v>475</v>
      </c>
      <c r="G72" s="7">
        <v>61</v>
      </c>
      <c r="H72" s="7" t="str">
        <f t="shared" si="117"/>
        <v>C</v>
      </c>
      <c r="I72" s="7">
        <v>79</v>
      </c>
      <c r="J72" s="7" t="str">
        <f t="shared" si="118"/>
        <v>D</v>
      </c>
      <c r="K72" s="7">
        <v>77</v>
      </c>
      <c r="L72" s="7" t="str">
        <f t="shared" si="119"/>
        <v>D</v>
      </c>
      <c r="M72" s="7">
        <v>68</v>
      </c>
      <c r="N72" s="7" t="str">
        <f t="shared" si="120"/>
        <v>C</v>
      </c>
      <c r="O72" s="7">
        <v>50</v>
      </c>
      <c r="P72" s="7" t="str">
        <f>IF(O72="-", "Absent", IF(O72&gt;=75, "D", IF(O72&gt;=55, "C", IF(O72&gt;=35, "S", IF(O72&gt;=0, "F")))))</f>
        <v>S</v>
      </c>
      <c r="Q72" s="7">
        <v>77</v>
      </c>
      <c r="R72" s="7" t="str">
        <f t="shared" si="122"/>
        <v>D</v>
      </c>
      <c r="S72" s="7">
        <v>78</v>
      </c>
      <c r="T72" s="7" t="str">
        <f t="shared" si="123"/>
        <v>D</v>
      </c>
      <c r="U72" s="7">
        <v>52</v>
      </c>
      <c r="V72" s="7" t="str">
        <f t="shared" si="124"/>
        <v>S</v>
      </c>
      <c r="W72" s="7">
        <v>77</v>
      </c>
      <c r="X72" s="7" t="str">
        <f t="shared" si="125"/>
        <v>D</v>
      </c>
      <c r="Y72" s="7">
        <v>52</v>
      </c>
      <c r="Z72" s="7" t="str">
        <f t="shared" si="126"/>
        <v>S</v>
      </c>
      <c r="AA72" s="7">
        <f t="shared" si="114"/>
        <v>671</v>
      </c>
      <c r="AB72" s="7" t="str">
        <f t="shared" si="115"/>
        <v>67%</v>
      </c>
      <c r="AC72" s="14" t="s">
        <v>454</v>
      </c>
      <c r="AD72" s="7"/>
      <c r="AE72" s="7">
        <f t="shared" si="100"/>
        <v>3</v>
      </c>
      <c r="AF72" s="7">
        <f t="shared" si="101"/>
        <v>0</v>
      </c>
      <c r="AG72" s="7">
        <f t="shared" si="102"/>
        <v>0</v>
      </c>
      <c r="AH72" s="12"/>
      <c r="AI72" s="14" t="str">
        <f>IF(AG72&gt;0, "Not Completed",
   IF(AC72=10, "First Class",
      IF(AB72&gt;75, IF(AE72&gt;0, "Ordinary Pass", "First Class"),
         IF(AB72&gt;65, IF(AE72&gt;0, "Ordinary Pass", "Second Class"),
            IF(AB72&lt;65, "Ordinary Pass", "")
         )
      )
   )
)</f>
        <v>Ordinary Pass</v>
      </c>
      <c r="AJ72" s="7"/>
      <c r="AK72" s="32" t="str">
        <f t="shared" si="103"/>
        <v>Not Completed</v>
      </c>
    </row>
    <row r="73" spans="2:37" ht="27" customHeight="1">
      <c r="B73" s="28">
        <v>66</v>
      </c>
      <c r="C73" s="29" t="s">
        <v>157</v>
      </c>
      <c r="D73" s="30" t="s">
        <v>158</v>
      </c>
      <c r="E73" s="4" t="s">
        <v>179</v>
      </c>
      <c r="F73" s="34" t="s">
        <v>475</v>
      </c>
      <c r="G73" s="7">
        <v>52</v>
      </c>
      <c r="H73" s="7" t="str">
        <f t="shared" si="117"/>
        <v>S</v>
      </c>
      <c r="I73" s="7">
        <v>73</v>
      </c>
      <c r="J73" s="7" t="str">
        <f t="shared" si="118"/>
        <v>C</v>
      </c>
      <c r="K73" s="7">
        <v>72</v>
      </c>
      <c r="L73" s="7" t="str">
        <f t="shared" si="119"/>
        <v>C</v>
      </c>
      <c r="M73" s="7">
        <v>58</v>
      </c>
      <c r="N73" s="7" t="str">
        <f t="shared" si="120"/>
        <v>C</v>
      </c>
      <c r="O73" s="7">
        <v>58</v>
      </c>
      <c r="P73" s="7" t="str">
        <f t="shared" si="121"/>
        <v>C</v>
      </c>
      <c r="Q73" s="7">
        <v>66</v>
      </c>
      <c r="R73" s="7" t="str">
        <f t="shared" si="122"/>
        <v>C</v>
      </c>
      <c r="S73" s="7">
        <v>73</v>
      </c>
      <c r="T73" s="7" t="str">
        <f t="shared" si="123"/>
        <v>C</v>
      </c>
      <c r="U73" s="7">
        <v>45</v>
      </c>
      <c r="V73" s="7" t="str">
        <f t="shared" si="124"/>
        <v>S</v>
      </c>
      <c r="W73" s="7">
        <v>62</v>
      </c>
      <c r="X73" s="7" t="str">
        <f t="shared" si="125"/>
        <v>C</v>
      </c>
      <c r="Y73" s="7">
        <v>43</v>
      </c>
      <c r="Z73" s="7" t="str">
        <f t="shared" si="126"/>
        <v>S</v>
      </c>
      <c r="AA73" s="7">
        <f t="shared" si="114"/>
        <v>602</v>
      </c>
      <c r="AB73" s="7" t="str">
        <f t="shared" si="115"/>
        <v>60%</v>
      </c>
      <c r="AC73" s="14" t="s">
        <v>454</v>
      </c>
      <c r="AD73" s="7"/>
      <c r="AE73" s="7">
        <f t="shared" si="100"/>
        <v>2</v>
      </c>
      <c r="AF73" s="7">
        <f t="shared" si="101"/>
        <v>0</v>
      </c>
      <c r="AG73" s="7">
        <f t="shared" si="102"/>
        <v>0</v>
      </c>
      <c r="AH73" s="12"/>
      <c r="AI73" s="14" t="s">
        <v>454</v>
      </c>
      <c r="AJ73" s="7"/>
      <c r="AK73" s="32" t="str">
        <f t="shared" si="103"/>
        <v>Not Completed</v>
      </c>
    </row>
    <row r="74" spans="2:37" ht="27" customHeight="1">
      <c r="B74" s="28">
        <v>67</v>
      </c>
      <c r="C74" s="29" t="s">
        <v>159</v>
      </c>
      <c r="D74" s="30">
        <v>198461900627</v>
      </c>
      <c r="E74" s="4" t="s">
        <v>180</v>
      </c>
      <c r="F74" s="34" t="s">
        <v>475</v>
      </c>
      <c r="G74" s="7">
        <v>41</v>
      </c>
      <c r="H74" s="7" t="str">
        <f t="shared" si="117"/>
        <v>S</v>
      </c>
      <c r="I74" s="7">
        <v>56</v>
      </c>
      <c r="J74" s="7" t="str">
        <f t="shared" si="118"/>
        <v>C</v>
      </c>
      <c r="K74" s="7">
        <v>66</v>
      </c>
      <c r="L74" s="7" t="str">
        <f t="shared" si="119"/>
        <v>C</v>
      </c>
      <c r="M74" s="7">
        <v>67</v>
      </c>
      <c r="N74" s="7" t="str">
        <f t="shared" si="120"/>
        <v>C</v>
      </c>
      <c r="O74" s="7">
        <v>47</v>
      </c>
      <c r="P74" s="7" t="str">
        <f t="shared" si="121"/>
        <v>S</v>
      </c>
      <c r="Q74" s="7">
        <v>43</v>
      </c>
      <c r="R74" s="7" t="str">
        <f t="shared" si="122"/>
        <v>S</v>
      </c>
      <c r="S74" s="7">
        <v>53</v>
      </c>
      <c r="T74" s="7" t="str">
        <f t="shared" si="123"/>
        <v>S</v>
      </c>
      <c r="U74" s="7">
        <v>43</v>
      </c>
      <c r="V74" s="7" t="str">
        <f t="shared" si="124"/>
        <v>S</v>
      </c>
      <c r="W74" s="7">
        <v>69</v>
      </c>
      <c r="X74" s="7" t="str">
        <f t="shared" si="125"/>
        <v>C</v>
      </c>
      <c r="Y74" s="7">
        <v>40</v>
      </c>
      <c r="Z74" s="7" t="str">
        <f t="shared" si="126"/>
        <v>S</v>
      </c>
      <c r="AA74" s="7">
        <f t="shared" si="114"/>
        <v>525</v>
      </c>
      <c r="AB74" s="7" t="str">
        <f t="shared" si="115"/>
        <v>53%</v>
      </c>
      <c r="AC74" s="14" t="s">
        <v>454</v>
      </c>
      <c r="AD74" s="7"/>
      <c r="AE74" s="7">
        <f t="shared" si="100"/>
        <v>5</v>
      </c>
      <c r="AF74" s="7">
        <f t="shared" si="101"/>
        <v>0</v>
      </c>
      <c r="AG74" s="7">
        <f t="shared" si="102"/>
        <v>0</v>
      </c>
      <c r="AH74" s="12"/>
      <c r="AI74" s="14" t="str">
        <f>IF(AG74&gt;0, "Not Completed",
   IF(AC74=10, "First Class",
      IF(AB74&gt;75, IF(AE74&gt;0, "Ordinary Pass", "First Class"),
         IF(AB74&gt;65, IF(AE74&gt;0, "Ordinary Pass", "Second Class"),
            IF(AB74&lt;65, "Ordinary Pass", "")
         )
      )
   )
)</f>
        <v>Ordinary Pass</v>
      </c>
      <c r="AJ74" s="7"/>
      <c r="AK74" s="32" t="str">
        <f t="shared" si="103"/>
        <v>Not Completed</v>
      </c>
    </row>
    <row r="75" spans="2:37" ht="27" customHeight="1">
      <c r="B75" s="28">
        <v>68</v>
      </c>
      <c r="C75" s="29" t="s">
        <v>160</v>
      </c>
      <c r="D75" s="30">
        <v>197833900434</v>
      </c>
      <c r="E75" s="4" t="s">
        <v>171</v>
      </c>
      <c r="F75" s="34" t="s">
        <v>475</v>
      </c>
      <c r="G75" s="7">
        <v>29</v>
      </c>
      <c r="H75" s="7" t="str">
        <f t="shared" si="117"/>
        <v>F</v>
      </c>
      <c r="I75" s="7">
        <v>39</v>
      </c>
      <c r="J75" s="7" t="str">
        <f t="shared" si="118"/>
        <v>S</v>
      </c>
      <c r="K75" s="7">
        <v>24</v>
      </c>
      <c r="L75" s="7" t="str">
        <f t="shared" si="119"/>
        <v>F</v>
      </c>
      <c r="M75" s="7">
        <v>33</v>
      </c>
      <c r="N75" s="7" t="str">
        <f t="shared" si="120"/>
        <v>F</v>
      </c>
      <c r="O75" s="7">
        <v>19</v>
      </c>
      <c r="P75" s="7" t="str">
        <f t="shared" si="121"/>
        <v>F</v>
      </c>
      <c r="Q75" s="7">
        <v>22</v>
      </c>
      <c r="R75" s="7" t="str">
        <f t="shared" si="122"/>
        <v>F</v>
      </c>
      <c r="S75" s="7">
        <v>32</v>
      </c>
      <c r="T75" s="7" t="str">
        <f t="shared" si="123"/>
        <v>F</v>
      </c>
      <c r="U75" s="7">
        <v>21</v>
      </c>
      <c r="V75" s="7" t="str">
        <f t="shared" si="124"/>
        <v>F</v>
      </c>
      <c r="W75" s="7">
        <v>27</v>
      </c>
      <c r="X75" s="7" t="str">
        <f t="shared" si="125"/>
        <v>F</v>
      </c>
      <c r="Y75" s="7" t="s">
        <v>6</v>
      </c>
      <c r="Z75" s="7" t="str">
        <f t="shared" si="126"/>
        <v>AB</v>
      </c>
      <c r="AA75" s="7">
        <f t="shared" si="114"/>
        <v>246</v>
      </c>
      <c r="AB75" s="7" t="str">
        <f t="shared" si="115"/>
        <v>25%</v>
      </c>
      <c r="AC75" s="14" t="s">
        <v>453</v>
      </c>
      <c r="AD75" s="7"/>
      <c r="AE75" s="7">
        <f t="shared" si="100"/>
        <v>1</v>
      </c>
      <c r="AF75" s="7">
        <f t="shared" si="101"/>
        <v>7</v>
      </c>
      <c r="AG75" s="7">
        <f t="shared" si="102"/>
        <v>1</v>
      </c>
      <c r="AH75" s="12"/>
      <c r="AI75" s="14" t="s">
        <v>453</v>
      </c>
      <c r="AJ75" s="7"/>
      <c r="AK75" s="32" t="str">
        <f t="shared" si="103"/>
        <v>Not Completed</v>
      </c>
    </row>
    <row r="76" spans="2:37" ht="25.5" customHeight="1">
      <c r="B76" s="28">
        <v>69</v>
      </c>
      <c r="C76" s="29" t="s">
        <v>161</v>
      </c>
      <c r="D76" s="30">
        <v>198427810031</v>
      </c>
      <c r="E76" s="4" t="s">
        <v>181</v>
      </c>
      <c r="F76" s="34" t="s">
        <v>475</v>
      </c>
      <c r="G76" s="7">
        <v>43</v>
      </c>
      <c r="H76" s="7" t="str">
        <f>IF(G76="-", "Absent", IF(G76&gt;=75, "D", IF(G76&gt;=55, "C", IF(G76&gt;=35, "S", IF(G76&gt;=0, "F")))))</f>
        <v>S</v>
      </c>
      <c r="I76" s="7">
        <v>60</v>
      </c>
      <c r="J76" s="7" t="str">
        <f>IF(I76="-", "Absent", IF(I76&gt;=75, "D", IF(I76&gt;=55, "C", IF(I76&gt;=35, "S", IF(I76&gt;=0, "F")))))</f>
        <v>C</v>
      </c>
      <c r="K76" s="7">
        <v>80</v>
      </c>
      <c r="L76" s="7" t="str">
        <f>IF(K76="-", "Absent", IF(K76&gt;=75, "D", IF(K76&gt;=55, "C", IF(K76&gt;=35, "S", IF(K76&gt;=0, "F")))))</f>
        <v>D</v>
      </c>
      <c r="M76" s="7">
        <v>70</v>
      </c>
      <c r="N76" s="7" t="str">
        <f>IF(M76="-", "Absent", IF(M76&gt;=75, "D", IF(M76&gt;=55, "C", IF(M76&gt;=35, "S", IF(M76&gt;=0, "F")))))</f>
        <v>C</v>
      </c>
      <c r="O76" s="7">
        <v>66</v>
      </c>
      <c r="P76" s="7" t="str">
        <f>IF(O76="-", "Absent", IF(O76&gt;=75, "D", IF(O76&gt;=55, "C", IF(O76&gt;=35, "S", IF(O76&gt;=0, "F")))))</f>
        <v>C</v>
      </c>
      <c r="Q76" s="7">
        <v>66</v>
      </c>
      <c r="R76" s="7" t="str">
        <f>IF(Q76="-", "Absent", IF(Q76&gt;=75, "D", IF(Q76&gt;=55, "C", IF(Q76&gt;=35, "S", IF(Q76&gt;=0, "F")))))</f>
        <v>C</v>
      </c>
      <c r="S76" s="7">
        <v>75</v>
      </c>
      <c r="T76" s="7" t="str">
        <f>IF(S76="-", "Absent", IF(S76&gt;=75, "D", IF(S76&gt;=55, "C", IF(S76&gt;=35, "S", IF(S76&gt;=0, "F")))))</f>
        <v>D</v>
      </c>
      <c r="U76" s="7">
        <v>56</v>
      </c>
      <c r="V76" s="7" t="str">
        <f>IF(U76="-", "Absent", IF(U76&gt;=75, "D", IF(U76&gt;=55, "C", IF(U76&gt;=35, "S", IF(U76&gt;=0, "F")))))</f>
        <v>C</v>
      </c>
      <c r="W76" s="7">
        <v>62</v>
      </c>
      <c r="X76" s="7" t="str">
        <f>IF(W76="-", "Absent", IF(W76&gt;=75, "D", IF(W76&gt;=55, "C", IF(W76&gt;=35, "S", IF(W76&gt;=0, "F")))))</f>
        <v>C</v>
      </c>
      <c r="Y76" s="7">
        <v>40</v>
      </c>
      <c r="Z76" s="7" t="str">
        <f>IF(Y76="-", "AB", IF(Y76&gt;=75, "D", IF(Y76&gt;=55, "C", IF(Y76&gt;=35, "S", IF(Y76&gt;=0, "F")))))</f>
        <v>S</v>
      </c>
      <c r="AA76" s="7">
        <f>SUMIF(G76:Z76, "&lt;&gt;AB")</f>
        <v>618</v>
      </c>
      <c r="AB76" s="7" t="str">
        <f>ROUND(AA76/10, 0)&amp;"%"</f>
        <v>62%</v>
      </c>
      <c r="AC76" s="14" t="s">
        <v>454</v>
      </c>
      <c r="AD76" s="7"/>
      <c r="AE76" s="7">
        <f t="shared" si="100"/>
        <v>1</v>
      </c>
      <c r="AF76" s="7">
        <f t="shared" si="101"/>
        <v>0</v>
      </c>
      <c r="AG76" s="7">
        <f t="shared" si="102"/>
        <v>0</v>
      </c>
      <c r="AH76" s="12"/>
      <c r="AI76" s="14" t="str">
        <f>IF(AG76&gt;0, "Not Completed",
   IF(AC76=10, "First Class",
      IF(AB76&gt;75, IF(AE76&gt;0, "Ordinary Pass", "First Class"),
         IF(AB76&gt;65, IF(AE76&gt;0, "Ordinary Pass", "Second Class"),
            IF(AB76&lt;65, "Ordinary Pass", "")
         )
      )
   )
)</f>
        <v>Ordinary Pass</v>
      </c>
      <c r="AJ76" s="7"/>
      <c r="AK76" s="32" t="str">
        <f t="shared" si="103"/>
        <v>Not Completed</v>
      </c>
    </row>
    <row r="77" spans="2:37" ht="27" customHeight="1">
      <c r="B77" s="28">
        <v>70</v>
      </c>
      <c r="C77" s="29" t="s">
        <v>425</v>
      </c>
      <c r="D77" s="30" t="s">
        <v>162</v>
      </c>
      <c r="E77" s="4" t="s">
        <v>182</v>
      </c>
      <c r="F77" s="30" t="s">
        <v>475</v>
      </c>
      <c r="G77" s="7">
        <v>46</v>
      </c>
      <c r="H77" s="7" t="str">
        <f t="shared" ref="H77:H83" si="131">IF(G77="-", "Absent", IF(G77&gt;=75, "D", IF(G77&gt;=55, "C", IF(G77&gt;=35, "S", IF(G77&gt;=0, "F")))))</f>
        <v>S</v>
      </c>
      <c r="I77" s="7">
        <v>80</v>
      </c>
      <c r="J77" s="7" t="str">
        <f t="shared" ref="J77:J83" si="132">IF(I77="-", "Absent", IF(I77&gt;=75, "D", IF(I77&gt;=55, "C", IF(I77&gt;=35, "S", IF(I77&gt;=0, "F")))))</f>
        <v>D</v>
      </c>
      <c r="K77" s="7">
        <v>84</v>
      </c>
      <c r="L77" s="7" t="str">
        <f t="shared" ref="L77:L83" si="133">IF(K77="-", "Absent", IF(K77&gt;=75, "D", IF(K77&gt;=55, "C", IF(K77&gt;=35, "S", IF(K77&gt;=0, "F")))))</f>
        <v>D</v>
      </c>
      <c r="M77" s="7">
        <v>66</v>
      </c>
      <c r="N77" s="7" t="str">
        <f t="shared" ref="N77:N83" si="134">IF(M77="-", "Absent", IF(M77&gt;=75, "D", IF(M77&gt;=55, "C", IF(M77&gt;=35, "S", IF(M77&gt;=0, "F")))))</f>
        <v>C</v>
      </c>
      <c r="O77" s="7">
        <v>42</v>
      </c>
      <c r="P77" s="7" t="str">
        <f t="shared" ref="P77:P83" si="135">IF(O77="-", "Absent", IF(O77&gt;=75, "D", IF(O77&gt;=55, "C", IF(O77&gt;=35, "S", IF(O77&gt;=0, "F")))))</f>
        <v>S</v>
      </c>
      <c r="Q77" s="7">
        <v>58</v>
      </c>
      <c r="R77" s="7" t="str">
        <f t="shared" ref="R77:R83" si="136">IF(Q77="-", "Absent", IF(Q77&gt;=75, "D", IF(Q77&gt;=55, "C", IF(Q77&gt;=35, "S", IF(Q77&gt;=0, "F")))))</f>
        <v>C</v>
      </c>
      <c r="S77" s="7">
        <v>51</v>
      </c>
      <c r="T77" s="7" t="str">
        <f t="shared" ref="T77:T83" si="137">IF(S77="-", "Absent", IF(S77&gt;=75, "D", IF(S77&gt;=55, "C", IF(S77&gt;=35, "S", IF(S77&gt;=0, "F")))))</f>
        <v>S</v>
      </c>
      <c r="U77" s="7">
        <v>36</v>
      </c>
      <c r="V77" s="7" t="str">
        <f t="shared" ref="V77:V83" si="138">IF(U77="-", "Absent", IF(U77&gt;=75, "D", IF(U77&gt;=55, "C", IF(U77&gt;=35, "S", IF(U77&gt;=0, "F")))))</f>
        <v>S</v>
      </c>
      <c r="W77" s="7">
        <v>58</v>
      </c>
      <c r="X77" s="7" t="str">
        <f t="shared" ref="X77:X83" si="139">IF(W77="-", "Absent", IF(W77&gt;=75, "D", IF(W77&gt;=55, "C", IF(W77&gt;=35, "S", IF(W77&gt;=0, "F")))))</f>
        <v>C</v>
      </c>
      <c r="Y77" s="7">
        <v>44</v>
      </c>
      <c r="Z77" s="7" t="str">
        <f t="shared" ref="Z77:Z83" si="140">IF(Y77="-", "AB", IF(Y77&gt;=75, "D", IF(Y77&gt;=55, "C", IF(Y77&gt;=35, "S", IF(Y77&gt;=0, "F")))))</f>
        <v>S</v>
      </c>
      <c r="AA77" s="7">
        <f t="shared" ref="AA77:AA92" si="141">SUMIF(G77:Z77, "&lt;&gt;AB")</f>
        <v>565</v>
      </c>
      <c r="AB77" s="7" t="str">
        <f t="shared" ref="AB77:AB92" si="142">ROUND(AA77/10, 0)&amp;"%"</f>
        <v>57%</v>
      </c>
      <c r="AC77" s="14" t="s">
        <v>454</v>
      </c>
      <c r="AD77" s="7"/>
      <c r="AE77" s="7">
        <f t="shared" si="100"/>
        <v>4</v>
      </c>
      <c r="AF77" s="7">
        <f t="shared" si="101"/>
        <v>0</v>
      </c>
      <c r="AG77" s="7">
        <f t="shared" si="102"/>
        <v>0</v>
      </c>
      <c r="AH77" s="12"/>
      <c r="AI77" s="14" t="str">
        <f>IF(AG77&gt;0, "Not Completed",
   IF(AC77=10, "First Class",
      IF(AB77&gt;75, IF(AE77&gt;0, "Ordinary Pass", "First Class"),
         IF(AB77&gt;65, IF(AE77&gt;0, "Ordinary Pass", "Second Class"),
            IF(AB77&lt;65, "Ordinary Pass", "")
         )
      )
   )
)</f>
        <v>Ordinary Pass</v>
      </c>
      <c r="AJ77" s="7"/>
      <c r="AK77" s="32" t="str">
        <f t="shared" si="103"/>
        <v>Not Completed</v>
      </c>
    </row>
    <row r="78" spans="2:37" ht="27" customHeight="1">
      <c r="B78" s="28">
        <v>71</v>
      </c>
      <c r="C78" s="29" t="s">
        <v>163</v>
      </c>
      <c r="D78" s="30" t="s">
        <v>164</v>
      </c>
      <c r="E78" s="4" t="s">
        <v>183</v>
      </c>
      <c r="F78" s="30" t="s">
        <v>475</v>
      </c>
      <c r="G78" s="7">
        <v>42</v>
      </c>
      <c r="H78" s="7" t="str">
        <f t="shared" si="131"/>
        <v>S</v>
      </c>
      <c r="I78" s="7">
        <v>74</v>
      </c>
      <c r="J78" s="7" t="str">
        <f t="shared" si="132"/>
        <v>C</v>
      </c>
      <c r="K78" s="7">
        <v>86</v>
      </c>
      <c r="L78" s="7" t="str">
        <f t="shared" si="133"/>
        <v>D</v>
      </c>
      <c r="M78" s="7">
        <v>46</v>
      </c>
      <c r="N78" s="7" t="str">
        <f t="shared" si="134"/>
        <v>S</v>
      </c>
      <c r="O78" s="7">
        <v>58</v>
      </c>
      <c r="P78" s="7" t="str">
        <f t="shared" si="135"/>
        <v>C</v>
      </c>
      <c r="Q78" s="7">
        <v>66</v>
      </c>
      <c r="R78" s="7" t="str">
        <f t="shared" si="136"/>
        <v>C</v>
      </c>
      <c r="S78" s="7">
        <v>36</v>
      </c>
      <c r="T78" s="7" t="str">
        <f t="shared" si="137"/>
        <v>S</v>
      </c>
      <c r="U78" s="7">
        <v>29</v>
      </c>
      <c r="V78" s="7" t="str">
        <f t="shared" si="138"/>
        <v>F</v>
      </c>
      <c r="W78" s="7">
        <v>40</v>
      </c>
      <c r="X78" s="7" t="str">
        <f t="shared" si="139"/>
        <v>S</v>
      </c>
      <c r="Y78" s="7">
        <v>54</v>
      </c>
      <c r="Z78" s="7" t="str">
        <f t="shared" si="140"/>
        <v>S</v>
      </c>
      <c r="AA78" s="7">
        <f t="shared" si="141"/>
        <v>531</v>
      </c>
      <c r="AB78" s="7" t="str">
        <f t="shared" si="142"/>
        <v>53%</v>
      </c>
      <c r="AC78" s="14" t="s">
        <v>15</v>
      </c>
      <c r="AD78" s="7">
        <v>8</v>
      </c>
      <c r="AE78" s="7">
        <f t="shared" si="100"/>
        <v>4</v>
      </c>
      <c r="AF78" s="7">
        <f t="shared" si="101"/>
        <v>1</v>
      </c>
      <c r="AG78" s="7">
        <f t="shared" si="102"/>
        <v>0</v>
      </c>
      <c r="AH78" s="12"/>
      <c r="AI78" s="14" t="s">
        <v>15</v>
      </c>
      <c r="AJ78" s="7">
        <v>8</v>
      </c>
      <c r="AK78" s="32" t="str">
        <f t="shared" si="103"/>
        <v>Not Completed</v>
      </c>
    </row>
    <row r="79" spans="2:37" ht="27" customHeight="1">
      <c r="B79" s="28">
        <v>72</v>
      </c>
      <c r="C79" s="29" t="s">
        <v>426</v>
      </c>
      <c r="D79" s="30" t="s">
        <v>165</v>
      </c>
      <c r="E79" s="4" t="s">
        <v>184</v>
      </c>
      <c r="F79" s="30" t="s">
        <v>475</v>
      </c>
      <c r="G79" s="7">
        <v>40</v>
      </c>
      <c r="H79" s="7" t="str">
        <f t="shared" si="131"/>
        <v>S</v>
      </c>
      <c r="I79" s="7">
        <v>52</v>
      </c>
      <c r="J79" s="7" t="str">
        <f t="shared" si="132"/>
        <v>S</v>
      </c>
      <c r="K79" s="7">
        <v>55</v>
      </c>
      <c r="L79" s="7" t="str">
        <f t="shared" si="133"/>
        <v>C</v>
      </c>
      <c r="M79" s="7">
        <v>43</v>
      </c>
      <c r="N79" s="7" t="str">
        <f t="shared" si="134"/>
        <v>S</v>
      </c>
      <c r="O79" s="7">
        <v>45</v>
      </c>
      <c r="P79" s="7" t="str">
        <f t="shared" si="135"/>
        <v>S</v>
      </c>
      <c r="Q79" s="7">
        <v>45</v>
      </c>
      <c r="R79" s="7" t="str">
        <f t="shared" si="136"/>
        <v>S</v>
      </c>
      <c r="S79" s="7">
        <v>62</v>
      </c>
      <c r="T79" s="7" t="str">
        <f t="shared" si="137"/>
        <v>C</v>
      </c>
      <c r="U79" s="7">
        <v>53</v>
      </c>
      <c r="V79" s="7" t="str">
        <f t="shared" si="138"/>
        <v>S</v>
      </c>
      <c r="W79" s="7">
        <v>42</v>
      </c>
      <c r="X79" s="7" t="str">
        <f t="shared" si="139"/>
        <v>S</v>
      </c>
      <c r="Y79" s="7">
        <v>25</v>
      </c>
      <c r="Z79" s="7" t="str">
        <f t="shared" si="140"/>
        <v>F</v>
      </c>
      <c r="AA79" s="7">
        <f t="shared" si="141"/>
        <v>462</v>
      </c>
      <c r="AB79" s="7" t="str">
        <f t="shared" si="142"/>
        <v>46%</v>
      </c>
      <c r="AC79" s="14" t="s">
        <v>15</v>
      </c>
      <c r="AD79" s="7">
        <v>10</v>
      </c>
      <c r="AE79" s="7">
        <f t="shared" si="100"/>
        <v>6</v>
      </c>
      <c r="AF79" s="7">
        <f t="shared" si="101"/>
        <v>1</v>
      </c>
      <c r="AG79" s="7">
        <f t="shared" si="102"/>
        <v>0</v>
      </c>
      <c r="AH79" s="12"/>
      <c r="AI79" s="14" t="s">
        <v>15</v>
      </c>
      <c r="AJ79" s="7">
        <v>10</v>
      </c>
      <c r="AK79" s="32" t="str">
        <f t="shared" si="103"/>
        <v>Not Completed</v>
      </c>
    </row>
    <row r="80" spans="2:37" ht="27" customHeight="1">
      <c r="B80" s="28">
        <v>73</v>
      </c>
      <c r="C80" s="29" t="s">
        <v>166</v>
      </c>
      <c r="D80" s="30" t="s">
        <v>167</v>
      </c>
      <c r="E80" s="4" t="s">
        <v>185</v>
      </c>
      <c r="F80" s="30" t="s">
        <v>475</v>
      </c>
      <c r="G80" s="7">
        <v>43</v>
      </c>
      <c r="H80" s="7" t="str">
        <f t="shared" si="131"/>
        <v>S</v>
      </c>
      <c r="I80" s="7">
        <v>83</v>
      </c>
      <c r="J80" s="7" t="str">
        <f t="shared" si="132"/>
        <v>D</v>
      </c>
      <c r="K80" s="7">
        <v>83</v>
      </c>
      <c r="L80" s="7" t="str">
        <f t="shared" si="133"/>
        <v>D</v>
      </c>
      <c r="M80" s="7">
        <v>83</v>
      </c>
      <c r="N80" s="7" t="str">
        <f t="shared" si="134"/>
        <v>D</v>
      </c>
      <c r="O80" s="7">
        <v>80</v>
      </c>
      <c r="P80" s="7" t="str">
        <f t="shared" si="135"/>
        <v>D</v>
      </c>
      <c r="Q80" s="7">
        <v>65</v>
      </c>
      <c r="R80" s="7" t="str">
        <f t="shared" si="136"/>
        <v>C</v>
      </c>
      <c r="S80" s="7">
        <v>75</v>
      </c>
      <c r="T80" s="7" t="str">
        <f t="shared" si="137"/>
        <v>D</v>
      </c>
      <c r="U80" s="7">
        <v>62</v>
      </c>
      <c r="V80" s="7" t="str">
        <f t="shared" si="138"/>
        <v>C</v>
      </c>
      <c r="W80" s="7">
        <v>78</v>
      </c>
      <c r="X80" s="7" t="str">
        <f t="shared" si="139"/>
        <v>D</v>
      </c>
      <c r="Y80" s="7">
        <v>55</v>
      </c>
      <c r="Z80" s="7" t="str">
        <f t="shared" si="140"/>
        <v>C</v>
      </c>
      <c r="AA80" s="7">
        <f t="shared" si="141"/>
        <v>707</v>
      </c>
      <c r="AB80" s="7" t="str">
        <f t="shared" si="142"/>
        <v>71%</v>
      </c>
      <c r="AC80" s="14" t="s">
        <v>454</v>
      </c>
      <c r="AD80" s="7"/>
      <c r="AE80" s="7">
        <f t="shared" si="100"/>
        <v>0</v>
      </c>
      <c r="AF80" s="7">
        <f t="shared" si="101"/>
        <v>0</v>
      </c>
      <c r="AG80" s="7">
        <f t="shared" si="102"/>
        <v>0</v>
      </c>
      <c r="AH80" s="12"/>
      <c r="AI80" s="14" t="s">
        <v>454</v>
      </c>
      <c r="AJ80" s="7"/>
      <c r="AK80" s="32" t="str">
        <f t="shared" si="103"/>
        <v>Not Completed</v>
      </c>
    </row>
    <row r="81" spans="2:37" ht="27" customHeight="1">
      <c r="B81" s="28">
        <v>74</v>
      </c>
      <c r="C81" s="29" t="s">
        <v>427</v>
      </c>
      <c r="D81" s="30" t="s">
        <v>168</v>
      </c>
      <c r="E81" s="4" t="s">
        <v>186</v>
      </c>
      <c r="F81" s="30" t="s">
        <v>475</v>
      </c>
      <c r="G81" s="7">
        <v>44</v>
      </c>
      <c r="H81" s="7" t="str">
        <f t="shared" si="131"/>
        <v>S</v>
      </c>
      <c r="I81" s="7">
        <v>66</v>
      </c>
      <c r="J81" s="7" t="str">
        <f t="shared" si="132"/>
        <v>C</v>
      </c>
      <c r="K81" s="7">
        <v>69</v>
      </c>
      <c r="L81" s="7" t="str">
        <f t="shared" si="133"/>
        <v>C</v>
      </c>
      <c r="M81" s="7">
        <v>44</v>
      </c>
      <c r="N81" s="7" t="str">
        <f t="shared" si="134"/>
        <v>S</v>
      </c>
      <c r="O81" s="7">
        <v>48</v>
      </c>
      <c r="P81" s="7" t="str">
        <f t="shared" si="135"/>
        <v>S</v>
      </c>
      <c r="Q81" s="7">
        <v>72</v>
      </c>
      <c r="R81" s="7" t="str">
        <f t="shared" si="136"/>
        <v>C</v>
      </c>
      <c r="S81" s="7">
        <v>81</v>
      </c>
      <c r="T81" s="7" t="str">
        <f t="shared" si="137"/>
        <v>D</v>
      </c>
      <c r="U81" s="7">
        <v>54</v>
      </c>
      <c r="V81" s="7" t="str">
        <f t="shared" si="138"/>
        <v>S</v>
      </c>
      <c r="W81" s="7">
        <v>53</v>
      </c>
      <c r="X81" s="7" t="str">
        <f t="shared" si="139"/>
        <v>S</v>
      </c>
      <c r="Y81" s="7">
        <v>47</v>
      </c>
      <c r="Z81" s="7" t="str">
        <f t="shared" si="140"/>
        <v>S</v>
      </c>
      <c r="AA81" s="7">
        <f t="shared" si="141"/>
        <v>578</v>
      </c>
      <c r="AB81" s="7" t="str">
        <f t="shared" si="142"/>
        <v>58%</v>
      </c>
      <c r="AC81" s="14" t="s">
        <v>454</v>
      </c>
      <c r="AD81" s="7"/>
      <c r="AE81" s="7">
        <f t="shared" si="100"/>
        <v>5</v>
      </c>
      <c r="AF81" s="7">
        <f t="shared" si="101"/>
        <v>0</v>
      </c>
      <c r="AG81" s="7">
        <f t="shared" si="102"/>
        <v>0</v>
      </c>
      <c r="AH81" s="12"/>
      <c r="AI81" s="14" t="str">
        <f>IF(AG81&gt;0, "Not Completed",
   IF(AC81=10, "First Class",
      IF(AB81&gt;75, IF(AE81&gt;0, "Ordinary Pass", "First Class"),
         IF(AB81&gt;65, IF(AE81&gt;0, "Ordinary Pass", "Second Class"),
            IF(AB81&lt;65, "Ordinary Pass", "")
         )
      )
   )
)</f>
        <v>Ordinary Pass</v>
      </c>
      <c r="AJ81" s="7"/>
      <c r="AK81" s="32" t="str">
        <f t="shared" si="103"/>
        <v>Not Completed</v>
      </c>
    </row>
    <row r="82" spans="2:37" ht="27" customHeight="1">
      <c r="B82" s="28">
        <v>75</v>
      </c>
      <c r="C82" s="29" t="s">
        <v>428</v>
      </c>
      <c r="D82" s="30">
        <v>198169600126</v>
      </c>
      <c r="E82" s="4" t="s">
        <v>187</v>
      </c>
      <c r="F82" s="30" t="s">
        <v>475</v>
      </c>
      <c r="G82" s="7">
        <v>52</v>
      </c>
      <c r="H82" s="7" t="str">
        <f t="shared" si="131"/>
        <v>S</v>
      </c>
      <c r="I82" s="7">
        <v>70</v>
      </c>
      <c r="J82" s="7" t="str">
        <f t="shared" si="132"/>
        <v>C</v>
      </c>
      <c r="K82" s="7">
        <v>83</v>
      </c>
      <c r="L82" s="7" t="str">
        <f t="shared" si="133"/>
        <v>D</v>
      </c>
      <c r="M82" s="7">
        <v>72</v>
      </c>
      <c r="N82" s="7" t="str">
        <f t="shared" si="134"/>
        <v>C</v>
      </c>
      <c r="O82" s="7">
        <v>59</v>
      </c>
      <c r="P82" s="7" t="str">
        <f t="shared" si="135"/>
        <v>C</v>
      </c>
      <c r="Q82" s="7">
        <v>91</v>
      </c>
      <c r="R82" s="7" t="str">
        <f t="shared" si="136"/>
        <v>D</v>
      </c>
      <c r="S82" s="7">
        <v>78</v>
      </c>
      <c r="T82" s="7" t="str">
        <f t="shared" si="137"/>
        <v>D</v>
      </c>
      <c r="U82" s="7">
        <v>71</v>
      </c>
      <c r="V82" s="7" t="str">
        <f t="shared" si="138"/>
        <v>C</v>
      </c>
      <c r="W82" s="7">
        <v>58</v>
      </c>
      <c r="X82" s="7" t="str">
        <f t="shared" si="139"/>
        <v>C</v>
      </c>
      <c r="Y82" s="7">
        <v>78</v>
      </c>
      <c r="Z82" s="7" t="str">
        <f t="shared" si="140"/>
        <v>D</v>
      </c>
      <c r="AA82" s="7">
        <f t="shared" si="141"/>
        <v>712</v>
      </c>
      <c r="AB82" s="7" t="str">
        <f t="shared" si="142"/>
        <v>71%</v>
      </c>
      <c r="AC82" s="14" t="s">
        <v>454</v>
      </c>
      <c r="AD82" s="7"/>
      <c r="AE82" s="7">
        <f t="shared" si="100"/>
        <v>0</v>
      </c>
      <c r="AF82" s="7">
        <f t="shared" si="101"/>
        <v>0</v>
      </c>
      <c r="AG82" s="7">
        <f t="shared" si="102"/>
        <v>0</v>
      </c>
      <c r="AH82" s="12"/>
      <c r="AI82" s="14" t="s">
        <v>454</v>
      </c>
      <c r="AJ82" s="7"/>
      <c r="AK82" s="32" t="str">
        <f t="shared" si="103"/>
        <v>Not Completed</v>
      </c>
    </row>
    <row r="83" spans="2:37" ht="27" customHeight="1">
      <c r="B83" s="28">
        <v>76</v>
      </c>
      <c r="C83" s="29" t="s">
        <v>429</v>
      </c>
      <c r="D83" s="30" t="s">
        <v>169</v>
      </c>
      <c r="E83" s="4" t="s">
        <v>188</v>
      </c>
      <c r="F83" s="30" t="s">
        <v>475</v>
      </c>
      <c r="G83" s="7">
        <v>39</v>
      </c>
      <c r="H83" s="7" t="str">
        <f t="shared" si="131"/>
        <v>S</v>
      </c>
      <c r="I83" s="7">
        <v>55</v>
      </c>
      <c r="J83" s="7" t="str">
        <f t="shared" si="132"/>
        <v>C</v>
      </c>
      <c r="K83" s="7">
        <v>56</v>
      </c>
      <c r="L83" s="7" t="str">
        <f t="shared" si="133"/>
        <v>C</v>
      </c>
      <c r="M83" s="7">
        <v>58</v>
      </c>
      <c r="N83" s="7" t="str">
        <f t="shared" si="134"/>
        <v>C</v>
      </c>
      <c r="O83" s="7">
        <v>38</v>
      </c>
      <c r="P83" s="7" t="str">
        <f t="shared" si="135"/>
        <v>S</v>
      </c>
      <c r="Q83" s="7">
        <v>49</v>
      </c>
      <c r="R83" s="7" t="str">
        <f t="shared" si="136"/>
        <v>S</v>
      </c>
      <c r="S83" s="7">
        <v>66</v>
      </c>
      <c r="T83" s="7" t="str">
        <f t="shared" si="137"/>
        <v>C</v>
      </c>
      <c r="U83" s="7">
        <v>55</v>
      </c>
      <c r="V83" s="7" t="str">
        <f t="shared" si="138"/>
        <v>C</v>
      </c>
      <c r="W83" s="7">
        <v>45</v>
      </c>
      <c r="X83" s="7" t="str">
        <f t="shared" si="139"/>
        <v>S</v>
      </c>
      <c r="Y83" s="7" t="s">
        <v>6</v>
      </c>
      <c r="Z83" s="7" t="str">
        <f t="shared" si="140"/>
        <v>AB</v>
      </c>
      <c r="AA83" s="7">
        <f t="shared" si="141"/>
        <v>461</v>
      </c>
      <c r="AB83" s="7" t="str">
        <f t="shared" si="142"/>
        <v>46%</v>
      </c>
      <c r="AC83" s="14" t="str">
        <f t="shared" ref="AC83" si="143">IF(AA83&gt;0, "Not Completed",
   IF(W83=10, "First Class",
      IF(V83&gt;75, IF(Y83&gt;0, "Ordinary Pass", "First Class"),
         IF(V83&gt;65, IF(Y83&gt;0, "Ordinary Pass", "Second Class"),
            IF(V83&lt;65, "Ordinary Pass", "")
         )
      )
   )
)</f>
        <v>Not Completed</v>
      </c>
      <c r="AD83" s="7"/>
      <c r="AE83" s="7">
        <f t="shared" si="100"/>
        <v>3</v>
      </c>
      <c r="AF83" s="7">
        <f t="shared" si="101"/>
        <v>0</v>
      </c>
      <c r="AG83" s="7">
        <f t="shared" si="102"/>
        <v>1</v>
      </c>
      <c r="AH83" s="12"/>
      <c r="AI83" s="14" t="str">
        <f>IF(AG83&gt;0, "Not Completed",
   IF(AC83=10, "First Class",
      IF(AB83&gt;75, IF(AE83&gt;0, "Ordinary Pass", "First Class"),
         IF(AB83&gt;65, IF(AE83&gt;0, "Ordinary Pass", "Second Class"),
            IF(AB83&lt;65, "Ordinary Pass", "")
         )
      )
   )
)</f>
        <v>Not Completed</v>
      </c>
      <c r="AJ83" s="7"/>
      <c r="AK83" s="32" t="str">
        <f t="shared" si="103"/>
        <v>Not Completed</v>
      </c>
    </row>
    <row r="84" spans="2:37" ht="27" customHeight="1">
      <c r="B84" s="28">
        <v>77</v>
      </c>
      <c r="C84" s="33" t="s">
        <v>189</v>
      </c>
      <c r="D84" s="34" t="s">
        <v>190</v>
      </c>
      <c r="E84" s="4" t="s">
        <v>205</v>
      </c>
      <c r="F84" s="34" t="s">
        <v>476</v>
      </c>
      <c r="G84" s="7" t="s">
        <v>6</v>
      </c>
      <c r="H84" s="7" t="str">
        <f t="shared" ref="H84:V84" si="144">IF(G84="-", "AB", IF(G84&gt;=75, "D", IF(G84&gt;=55, "C", IF(G84&gt;=35, "S", IF(G84&gt;=0, "F")))))</f>
        <v>AB</v>
      </c>
      <c r="I84" s="7" t="s">
        <v>6</v>
      </c>
      <c r="J84" s="7" t="str">
        <f t="shared" si="144"/>
        <v>AB</v>
      </c>
      <c r="K84" s="7" t="s">
        <v>6</v>
      </c>
      <c r="L84" s="7" t="str">
        <f t="shared" si="144"/>
        <v>AB</v>
      </c>
      <c r="M84" s="7" t="s">
        <v>6</v>
      </c>
      <c r="N84" s="7" t="str">
        <f t="shared" si="144"/>
        <v>AB</v>
      </c>
      <c r="O84" s="7" t="s">
        <v>6</v>
      </c>
      <c r="P84" s="7" t="str">
        <f t="shared" si="144"/>
        <v>AB</v>
      </c>
      <c r="Q84" s="7" t="s">
        <v>6</v>
      </c>
      <c r="R84" s="7" t="str">
        <f t="shared" si="144"/>
        <v>AB</v>
      </c>
      <c r="S84" s="7" t="s">
        <v>6</v>
      </c>
      <c r="T84" s="7" t="str">
        <f t="shared" si="144"/>
        <v>AB</v>
      </c>
      <c r="U84" s="7" t="s">
        <v>6</v>
      </c>
      <c r="V84" s="7" t="str">
        <f t="shared" si="144"/>
        <v>AB</v>
      </c>
      <c r="W84" s="7" t="s">
        <v>6</v>
      </c>
      <c r="X84" s="7" t="str">
        <f t="shared" ref="R84:X90" si="145">IF(W84="-", "AB", IF(W84&gt;=75, "D", IF(W84&gt;=55, "C", IF(W84&gt;=35, "S", IF(W84&gt;=0, "F")))))</f>
        <v>AB</v>
      </c>
      <c r="Y84" s="7" t="s">
        <v>6</v>
      </c>
      <c r="Z84" s="7" t="str">
        <f>IF(Y84="-", "AB", IF(Y84&gt;=75, "D", IF(Y84&gt;=55, "C", IF(Y84&gt;=35, "S", IF(Y84&gt;=0, "F")))))</f>
        <v>AB</v>
      </c>
      <c r="AA84" s="7">
        <f t="shared" si="141"/>
        <v>0</v>
      </c>
      <c r="AB84" s="7" t="str">
        <f t="shared" si="142"/>
        <v>0%</v>
      </c>
      <c r="AC84" s="14" t="s">
        <v>403</v>
      </c>
      <c r="AD84" s="7"/>
      <c r="AE84" s="7">
        <f t="shared" si="100"/>
        <v>0</v>
      </c>
      <c r="AF84" s="7">
        <f t="shared" si="101"/>
        <v>0</v>
      </c>
      <c r="AG84" s="7">
        <f t="shared" si="102"/>
        <v>10</v>
      </c>
      <c r="AH84" s="12"/>
      <c r="AI84" s="14" t="s">
        <v>403</v>
      </c>
      <c r="AJ84" s="7"/>
      <c r="AK84" s="32" t="str">
        <f t="shared" si="103"/>
        <v>Not Completed</v>
      </c>
    </row>
    <row r="85" spans="2:37" ht="27" customHeight="1">
      <c r="B85" s="28">
        <v>78</v>
      </c>
      <c r="C85" s="29" t="s">
        <v>191</v>
      </c>
      <c r="D85" s="30">
        <v>198476400537</v>
      </c>
      <c r="E85" s="4" t="s">
        <v>206</v>
      </c>
      <c r="F85" s="34" t="s">
        <v>476</v>
      </c>
      <c r="G85" s="7">
        <v>38</v>
      </c>
      <c r="H85" s="7" t="str">
        <f t="shared" ref="H85:H92" si="146">IF(G85="-", "Absent", IF(G85&gt;=75, "D", IF(G85&gt;=55, "C", IF(G85&gt;=35, "S", IF(G85&gt;=0, "F")))))</f>
        <v>S</v>
      </c>
      <c r="I85" s="7">
        <v>63</v>
      </c>
      <c r="J85" s="7" t="str">
        <f t="shared" ref="J85:J92" si="147">IF(I85="-", "Absent", IF(I85&gt;=75, "D", IF(I85&gt;=55, "C", IF(I85&gt;=35, "S", IF(I85&gt;=0, "F")))))</f>
        <v>C</v>
      </c>
      <c r="K85" s="7">
        <v>50</v>
      </c>
      <c r="L85" s="7" t="str">
        <f t="shared" ref="L85:L92" si="148">IF(K85="-", "Absent", IF(K85&gt;=75, "D", IF(K85&gt;=55, "C", IF(K85&gt;=35, "S", IF(K85&gt;=0, "F")))))</f>
        <v>S</v>
      </c>
      <c r="M85" s="7">
        <v>70</v>
      </c>
      <c r="N85" s="7" t="str">
        <f t="shared" ref="N85:N92" si="149">IF(M85="-", "Absent", IF(M85&gt;=75, "D", IF(M85&gt;=55, "C", IF(M85&gt;=35, "S", IF(M85&gt;=0, "F")))))</f>
        <v>C</v>
      </c>
      <c r="O85" s="7">
        <v>52</v>
      </c>
      <c r="P85" s="7" t="str">
        <f t="shared" ref="P85:P92" si="150">IF(O85="-", "Absent", IF(O85&gt;=75, "D", IF(O85&gt;=55, "C", IF(O85&gt;=35, "S", IF(O85&gt;=0, "F")))))</f>
        <v>S</v>
      </c>
      <c r="Q85" s="7">
        <v>70</v>
      </c>
      <c r="R85" s="7" t="str">
        <f t="shared" ref="R85:R92" si="151">IF(Q85="-", "Absent", IF(Q85&gt;=75, "D", IF(Q85&gt;=55, "C", IF(Q85&gt;=35, "S", IF(Q85&gt;=0, "F")))))</f>
        <v>C</v>
      </c>
      <c r="S85" s="7">
        <v>71</v>
      </c>
      <c r="T85" s="7" t="str">
        <f t="shared" ref="T85:T92" si="152">IF(S85="-", "Absent", IF(S85&gt;=75, "D", IF(S85&gt;=55, "C", IF(S85&gt;=35, "S", IF(S85&gt;=0, "F")))))</f>
        <v>C</v>
      </c>
      <c r="U85" s="7">
        <v>63</v>
      </c>
      <c r="V85" s="7" t="str">
        <f t="shared" ref="V85:V92" si="153">IF(U85="-", "Absent", IF(U85&gt;=75, "D", IF(U85&gt;=55, "C", IF(U85&gt;=35, "S", IF(U85&gt;=0, "F")))))</f>
        <v>C</v>
      </c>
      <c r="W85" s="7">
        <v>54</v>
      </c>
      <c r="X85" s="7" t="str">
        <f t="shared" ref="X85:X92" si="154">IF(W85="-", "Absent", IF(W85&gt;=75, "D", IF(W85&gt;=55, "C", IF(W85&gt;=35, "S", IF(W85&gt;=0, "F")))))</f>
        <v>S</v>
      </c>
      <c r="Y85" s="7">
        <v>30</v>
      </c>
      <c r="Z85" s="7" t="str">
        <f t="shared" ref="Z85:Z92" si="155">IF(Y85="-", "AB", IF(Y85&gt;=75, "D", IF(Y85&gt;=55, "C", IF(Y85&gt;=35, "S", IF(Y85&gt;=0, "F")))))</f>
        <v>F</v>
      </c>
      <c r="AA85" s="7">
        <f t="shared" si="141"/>
        <v>561</v>
      </c>
      <c r="AB85" s="7" t="str">
        <f t="shared" si="142"/>
        <v>56%</v>
      </c>
      <c r="AC85" s="14" t="s">
        <v>15</v>
      </c>
      <c r="AD85" s="7">
        <v>10</v>
      </c>
      <c r="AE85" s="7">
        <f t="shared" si="100"/>
        <v>3</v>
      </c>
      <c r="AF85" s="7">
        <f t="shared" si="101"/>
        <v>1</v>
      </c>
      <c r="AG85" s="7">
        <f t="shared" si="102"/>
        <v>0</v>
      </c>
      <c r="AH85" s="12"/>
      <c r="AI85" s="14" t="s">
        <v>15</v>
      </c>
      <c r="AJ85" s="7">
        <v>10</v>
      </c>
      <c r="AK85" s="32" t="str">
        <f t="shared" si="103"/>
        <v>Not Completed</v>
      </c>
    </row>
    <row r="86" spans="2:37" ht="27" customHeight="1">
      <c r="B86" s="28">
        <v>79</v>
      </c>
      <c r="C86" s="29" t="s">
        <v>192</v>
      </c>
      <c r="D86" s="30">
        <v>200059502587</v>
      </c>
      <c r="E86" s="4" t="s">
        <v>207</v>
      </c>
      <c r="F86" s="34" t="s">
        <v>476</v>
      </c>
      <c r="G86" s="7">
        <v>49</v>
      </c>
      <c r="H86" s="7" t="str">
        <f t="shared" si="146"/>
        <v>S</v>
      </c>
      <c r="I86" s="7">
        <v>67</v>
      </c>
      <c r="J86" s="7" t="str">
        <f t="shared" si="147"/>
        <v>C</v>
      </c>
      <c r="K86" s="7">
        <v>52</v>
      </c>
      <c r="L86" s="7" t="str">
        <f t="shared" si="148"/>
        <v>S</v>
      </c>
      <c r="M86" s="7">
        <v>61</v>
      </c>
      <c r="N86" s="7" t="str">
        <f t="shared" si="149"/>
        <v>C</v>
      </c>
      <c r="O86" s="7">
        <v>47</v>
      </c>
      <c r="P86" s="7" t="str">
        <f t="shared" si="150"/>
        <v>S</v>
      </c>
      <c r="Q86" s="7" t="s">
        <v>6</v>
      </c>
      <c r="R86" s="7" t="str">
        <f t="shared" si="145"/>
        <v>AB</v>
      </c>
      <c r="S86" s="7">
        <v>30</v>
      </c>
      <c r="T86" s="7" t="str">
        <f t="shared" si="152"/>
        <v>F</v>
      </c>
      <c r="U86" s="7" t="s">
        <v>6</v>
      </c>
      <c r="V86" s="7" t="str">
        <f t="shared" si="145"/>
        <v>AB</v>
      </c>
      <c r="W86" s="7" t="s">
        <v>6</v>
      </c>
      <c r="X86" s="7" t="str">
        <f t="shared" si="145"/>
        <v>AB</v>
      </c>
      <c r="Y86" s="7" t="s">
        <v>6</v>
      </c>
      <c r="Z86" s="7" t="str">
        <f t="shared" si="155"/>
        <v>AB</v>
      </c>
      <c r="AA86" s="7">
        <f t="shared" si="141"/>
        <v>306</v>
      </c>
      <c r="AB86" s="7" t="str">
        <f t="shared" si="142"/>
        <v>31%</v>
      </c>
      <c r="AC86" s="14" t="str">
        <f t="shared" ref="AC86:AC90" si="156">IF(AA86&gt;0, "Not Completed",
   IF(W86=10, "First Class",
      IF(V86&gt;75, IF(Y86&gt;0, "Ordinary Pass", "First Class"),
         IF(V86&gt;65, IF(Y86&gt;0, "Ordinary Pass", "Second Class"),
            IF(V86&lt;65, "Ordinary Pass", "")
         )
      )
   )
)</f>
        <v>Not Completed</v>
      </c>
      <c r="AD86" s="7">
        <v>7</v>
      </c>
      <c r="AE86" s="7">
        <f t="shared" si="100"/>
        <v>2</v>
      </c>
      <c r="AF86" s="7">
        <f t="shared" si="101"/>
        <v>1</v>
      </c>
      <c r="AG86" s="7">
        <f t="shared" si="102"/>
        <v>4</v>
      </c>
      <c r="AH86" s="12"/>
      <c r="AI86" s="14" t="str">
        <f>IF(AG86&gt;0, "Not Completed",
   IF(AC86=10, "First Class",
      IF(AB86&gt;75, IF(AE86&gt;0, "Ordinary Pass", "First Class"),
         IF(AB86&gt;65, IF(AE86&gt;0, "Ordinary Pass", "Second Class"),
            IF(AB86&lt;65, "Ordinary Pass", "")
         )
      )
   )
)</f>
        <v>Not Completed</v>
      </c>
      <c r="AJ86" s="7">
        <v>7</v>
      </c>
      <c r="AK86" s="32" t="str">
        <f t="shared" si="103"/>
        <v>Not Completed</v>
      </c>
    </row>
    <row r="87" spans="2:37" ht="27" customHeight="1">
      <c r="B87" s="28">
        <v>80</v>
      </c>
      <c r="C87" s="29" t="s">
        <v>193</v>
      </c>
      <c r="D87" s="30" t="s">
        <v>194</v>
      </c>
      <c r="E87" s="4" t="s">
        <v>208</v>
      </c>
      <c r="F87" s="34" t="s">
        <v>476</v>
      </c>
      <c r="G87" s="7">
        <v>35</v>
      </c>
      <c r="H87" s="7" t="str">
        <f t="shared" si="146"/>
        <v>S</v>
      </c>
      <c r="I87" s="7">
        <v>73</v>
      </c>
      <c r="J87" s="7" t="str">
        <f t="shared" si="147"/>
        <v>C</v>
      </c>
      <c r="K87" s="7">
        <v>25</v>
      </c>
      <c r="L87" s="7" t="str">
        <f t="shared" si="148"/>
        <v>F</v>
      </c>
      <c r="M87" s="7">
        <v>42</v>
      </c>
      <c r="N87" s="7" t="str">
        <f t="shared" si="149"/>
        <v>S</v>
      </c>
      <c r="O87" s="7">
        <v>42</v>
      </c>
      <c r="P87" s="7" t="str">
        <f t="shared" si="150"/>
        <v>S</v>
      </c>
      <c r="Q87" s="7" t="s">
        <v>6</v>
      </c>
      <c r="R87" s="7" t="str">
        <f t="shared" si="145"/>
        <v>AB</v>
      </c>
      <c r="S87" s="7">
        <v>23</v>
      </c>
      <c r="T87" s="7" t="str">
        <f t="shared" si="152"/>
        <v>F</v>
      </c>
      <c r="U87" s="7" t="s">
        <v>6</v>
      </c>
      <c r="V87" s="7" t="str">
        <f t="shared" si="145"/>
        <v>AB</v>
      </c>
      <c r="W87" s="7" t="s">
        <v>6</v>
      </c>
      <c r="X87" s="7" t="str">
        <f t="shared" si="145"/>
        <v>AB</v>
      </c>
      <c r="Y87" s="7" t="s">
        <v>6</v>
      </c>
      <c r="Z87" s="7" t="str">
        <f t="shared" si="155"/>
        <v>AB</v>
      </c>
      <c r="AA87" s="7">
        <f t="shared" si="141"/>
        <v>240</v>
      </c>
      <c r="AB87" s="7" t="str">
        <f t="shared" si="142"/>
        <v>24%</v>
      </c>
      <c r="AC87" s="14" t="str">
        <f t="shared" si="156"/>
        <v>Not Completed</v>
      </c>
      <c r="AD87" s="7" t="s">
        <v>462</v>
      </c>
      <c r="AE87" s="7">
        <f t="shared" si="100"/>
        <v>2</v>
      </c>
      <c r="AF87" s="7">
        <f t="shared" si="101"/>
        <v>2</v>
      </c>
      <c r="AG87" s="7">
        <f t="shared" si="102"/>
        <v>4</v>
      </c>
      <c r="AH87" s="12"/>
      <c r="AI87" s="14" t="str">
        <f>IF(AG87&gt;0, "Not Completed",
   IF(AC87=10, "First Class",
      IF(AB87&gt;75, IF(AE87&gt;0, "Ordinary Pass", "First Class"),
         IF(AB87&gt;65, IF(AE87&gt;0, "Ordinary Pass", "Second Class"),
            IF(AB87&lt;65, "Ordinary Pass", "")
         )
      )
   )
)</f>
        <v>Not Completed</v>
      </c>
      <c r="AJ87" s="7" t="s">
        <v>462</v>
      </c>
      <c r="AK87" s="32" t="str">
        <f t="shared" si="103"/>
        <v>Not Completed</v>
      </c>
    </row>
    <row r="88" spans="2:37" ht="27" customHeight="1">
      <c r="B88" s="28">
        <v>81</v>
      </c>
      <c r="C88" s="29" t="s">
        <v>195</v>
      </c>
      <c r="D88" s="30">
        <v>198450105090</v>
      </c>
      <c r="E88" s="4" t="s">
        <v>209</v>
      </c>
      <c r="F88" s="34" t="s">
        <v>476</v>
      </c>
      <c r="G88" s="7">
        <v>42</v>
      </c>
      <c r="H88" s="7" t="str">
        <f t="shared" si="146"/>
        <v>S</v>
      </c>
      <c r="I88" s="7">
        <v>40</v>
      </c>
      <c r="J88" s="7" t="str">
        <f t="shared" si="147"/>
        <v>S</v>
      </c>
      <c r="K88" s="7">
        <v>61</v>
      </c>
      <c r="L88" s="7" t="str">
        <f t="shared" si="148"/>
        <v>C</v>
      </c>
      <c r="M88" s="7">
        <v>45</v>
      </c>
      <c r="N88" s="7" t="str">
        <f t="shared" si="149"/>
        <v>S</v>
      </c>
      <c r="O88" s="7">
        <v>50</v>
      </c>
      <c r="P88" s="7" t="str">
        <f t="shared" si="150"/>
        <v>S</v>
      </c>
      <c r="Q88" s="7" t="s">
        <v>6</v>
      </c>
      <c r="R88" s="7" t="str">
        <f t="shared" si="145"/>
        <v>AB</v>
      </c>
      <c r="S88" s="7" t="s">
        <v>6</v>
      </c>
      <c r="T88" s="7" t="str">
        <f t="shared" si="145"/>
        <v>AB</v>
      </c>
      <c r="U88" s="7" t="s">
        <v>6</v>
      </c>
      <c r="V88" s="7" t="str">
        <f t="shared" si="145"/>
        <v>AB</v>
      </c>
      <c r="W88" s="7" t="s">
        <v>6</v>
      </c>
      <c r="X88" s="7" t="str">
        <f t="shared" si="145"/>
        <v>AB</v>
      </c>
      <c r="Y88" s="7" t="s">
        <v>6</v>
      </c>
      <c r="Z88" s="7" t="str">
        <f t="shared" si="155"/>
        <v>AB</v>
      </c>
      <c r="AA88" s="7">
        <f t="shared" si="141"/>
        <v>238</v>
      </c>
      <c r="AB88" s="7" t="str">
        <f t="shared" si="142"/>
        <v>24%</v>
      </c>
      <c r="AC88" s="14" t="str">
        <f t="shared" si="156"/>
        <v>Not Completed</v>
      </c>
      <c r="AD88" s="7"/>
      <c r="AE88" s="7">
        <f t="shared" si="100"/>
        <v>3</v>
      </c>
      <c r="AF88" s="7">
        <f t="shared" si="101"/>
        <v>0</v>
      </c>
      <c r="AG88" s="7">
        <f t="shared" si="102"/>
        <v>5</v>
      </c>
      <c r="AH88" s="12"/>
      <c r="AI88" s="14" t="str">
        <f>IF(AG88&gt;0, "Not Completed",
   IF(AC88=10, "First Class",
      IF(AB88&gt;75, IF(AE88&gt;0, "Ordinary Pass", "First Class"),
         IF(AB88&gt;65, IF(AE88&gt;0, "Ordinary Pass", "Second Class"),
            IF(AB88&lt;65, "Ordinary Pass", "")
         )
      )
   )
)</f>
        <v>Not Completed</v>
      </c>
      <c r="AJ88" s="7"/>
      <c r="AK88" s="32" t="str">
        <f t="shared" si="103"/>
        <v>Not Completed</v>
      </c>
    </row>
    <row r="89" spans="2:37" ht="27" customHeight="1">
      <c r="B89" s="28">
        <v>82</v>
      </c>
      <c r="C89" s="29" t="s">
        <v>430</v>
      </c>
      <c r="D89" s="30">
        <v>198450105090</v>
      </c>
      <c r="E89" s="4" t="s">
        <v>210</v>
      </c>
      <c r="F89" s="34" t="s">
        <v>476</v>
      </c>
      <c r="G89" s="7">
        <v>47</v>
      </c>
      <c r="H89" s="7" t="str">
        <f t="shared" si="146"/>
        <v>S</v>
      </c>
      <c r="I89" s="7">
        <v>65</v>
      </c>
      <c r="J89" s="7" t="str">
        <f t="shared" si="147"/>
        <v>C</v>
      </c>
      <c r="K89" s="7">
        <v>62</v>
      </c>
      <c r="L89" s="7" t="str">
        <f t="shared" si="148"/>
        <v>C</v>
      </c>
      <c r="M89" s="7">
        <v>78</v>
      </c>
      <c r="N89" s="7" t="str">
        <f t="shared" si="149"/>
        <v>D</v>
      </c>
      <c r="O89" s="7">
        <v>55</v>
      </c>
      <c r="P89" s="7" t="str">
        <f t="shared" si="150"/>
        <v>C</v>
      </c>
      <c r="Q89" s="7">
        <v>35</v>
      </c>
      <c r="R89" s="7" t="str">
        <f t="shared" si="151"/>
        <v>S</v>
      </c>
      <c r="S89" s="7">
        <v>60</v>
      </c>
      <c r="T89" s="7" t="str">
        <f t="shared" si="152"/>
        <v>C</v>
      </c>
      <c r="U89" s="7">
        <v>61</v>
      </c>
      <c r="V89" s="7" t="str">
        <f t="shared" si="153"/>
        <v>C</v>
      </c>
      <c r="W89" s="7">
        <v>65</v>
      </c>
      <c r="X89" s="7" t="str">
        <f t="shared" si="154"/>
        <v>C</v>
      </c>
      <c r="Y89" s="7">
        <v>22</v>
      </c>
      <c r="Z89" s="7" t="str">
        <f t="shared" si="155"/>
        <v>F</v>
      </c>
      <c r="AA89" s="7">
        <f t="shared" si="141"/>
        <v>550</v>
      </c>
      <c r="AB89" s="7" t="str">
        <f t="shared" si="142"/>
        <v>55%</v>
      </c>
      <c r="AC89" s="14" t="s">
        <v>15</v>
      </c>
      <c r="AD89" s="7">
        <v>10</v>
      </c>
      <c r="AE89" s="7">
        <f t="shared" si="100"/>
        <v>1</v>
      </c>
      <c r="AF89" s="7">
        <f t="shared" si="101"/>
        <v>1</v>
      </c>
      <c r="AG89" s="7">
        <f t="shared" si="102"/>
        <v>0</v>
      </c>
      <c r="AH89" s="12"/>
      <c r="AI89" s="14" t="s">
        <v>15</v>
      </c>
      <c r="AJ89" s="7">
        <v>10</v>
      </c>
      <c r="AK89" s="32" t="str">
        <f t="shared" si="103"/>
        <v>Not Completed</v>
      </c>
    </row>
    <row r="90" spans="2:37" ht="27" customHeight="1">
      <c r="B90" s="28">
        <v>83</v>
      </c>
      <c r="C90" s="29" t="s">
        <v>196</v>
      </c>
      <c r="D90" s="30">
        <v>197161302820</v>
      </c>
      <c r="E90" s="4" t="s">
        <v>211</v>
      </c>
      <c r="F90" s="34" t="s">
        <v>476</v>
      </c>
      <c r="G90" s="7">
        <v>34</v>
      </c>
      <c r="H90" s="7" t="str">
        <f t="shared" si="146"/>
        <v>F</v>
      </c>
      <c r="I90" s="7">
        <v>45</v>
      </c>
      <c r="J90" s="7" t="str">
        <f t="shared" si="147"/>
        <v>S</v>
      </c>
      <c r="K90" s="7">
        <v>47</v>
      </c>
      <c r="L90" s="7" t="str">
        <f t="shared" si="148"/>
        <v>S</v>
      </c>
      <c r="M90" s="7">
        <v>48</v>
      </c>
      <c r="N90" s="7" t="str">
        <f t="shared" si="149"/>
        <v>S</v>
      </c>
      <c r="O90" s="7">
        <v>26</v>
      </c>
      <c r="P90" s="7" t="str">
        <f t="shared" si="150"/>
        <v>F</v>
      </c>
      <c r="Q90" s="7" t="s">
        <v>6</v>
      </c>
      <c r="R90" s="7" t="str">
        <f t="shared" si="145"/>
        <v>AB</v>
      </c>
      <c r="S90" s="7" t="s">
        <v>6</v>
      </c>
      <c r="T90" s="7" t="str">
        <f t="shared" si="145"/>
        <v>AB</v>
      </c>
      <c r="U90" s="7" t="s">
        <v>6</v>
      </c>
      <c r="V90" s="7" t="str">
        <f t="shared" si="145"/>
        <v>AB</v>
      </c>
      <c r="W90" s="7" t="s">
        <v>6</v>
      </c>
      <c r="X90" s="7" t="str">
        <f t="shared" si="145"/>
        <v>AB</v>
      </c>
      <c r="Y90" s="7" t="s">
        <v>6</v>
      </c>
      <c r="Z90" s="7" t="str">
        <f t="shared" si="155"/>
        <v>AB</v>
      </c>
      <c r="AA90" s="7">
        <f t="shared" si="141"/>
        <v>200</v>
      </c>
      <c r="AB90" s="7" t="str">
        <f t="shared" si="142"/>
        <v>20%</v>
      </c>
      <c r="AC90" s="14" t="str">
        <f t="shared" si="156"/>
        <v>Not Completed</v>
      </c>
      <c r="AD90" s="7" t="s">
        <v>461</v>
      </c>
      <c r="AE90" s="7">
        <f t="shared" ref="AE90:AE121" si="157">COUNTIF(I90:AD90, "S")</f>
        <v>3</v>
      </c>
      <c r="AF90" s="7">
        <f t="shared" ref="AF90:AF121" si="158">COUNTIF(J90:AE90, "F")</f>
        <v>1</v>
      </c>
      <c r="AG90" s="7">
        <f t="shared" ref="AG90:AG121" si="159">COUNTIF(G90:AF90, "-")</f>
        <v>5</v>
      </c>
      <c r="AH90" s="12"/>
      <c r="AI90" s="14" t="str">
        <f>IF(AG90&gt;0, "Not Completed",
   IF(AC90=10, "First Class",
      IF(AB90&gt;75, IF(AE90&gt;0, "Ordinary Pass", "First Class"),
         IF(AB90&gt;65, IF(AE90&gt;0, "Ordinary Pass", "Second Class"),
            IF(AB90&lt;65, "Ordinary Pass", "")
         )
      )
   )
)</f>
        <v>Not Completed</v>
      </c>
      <c r="AJ90" s="7" t="s">
        <v>461</v>
      </c>
      <c r="AK90" s="32" t="str">
        <f t="shared" ref="AK90:AK121" si="160">IF(AI90&gt;0, "Not Completed",
   IF(AE90=10, "First Class",
      IF(AB90&gt;75, IF(AG90&gt;0, "Ordinary Pass", "First Class"),
         IF(AB90&gt;65, IF(AG90&gt;0, "Ordinary Pass", "Second Class"),
            IF(AB90&lt;65, "Ordinary Pass", "")
         )
      )
   )
)</f>
        <v>Not Completed</v>
      </c>
    </row>
    <row r="91" spans="2:37" ht="27" customHeight="1">
      <c r="B91" s="28">
        <v>84</v>
      </c>
      <c r="C91" s="29" t="s">
        <v>197</v>
      </c>
      <c r="D91" s="30" t="s">
        <v>198</v>
      </c>
      <c r="E91" s="4" t="s">
        <v>212</v>
      </c>
      <c r="F91" s="34" t="s">
        <v>476</v>
      </c>
      <c r="G91" s="7">
        <v>45</v>
      </c>
      <c r="H91" s="7" t="str">
        <f t="shared" si="146"/>
        <v>S</v>
      </c>
      <c r="I91" s="7">
        <v>80</v>
      </c>
      <c r="J91" s="7" t="str">
        <f t="shared" si="147"/>
        <v>D</v>
      </c>
      <c r="K91" s="7">
        <v>76</v>
      </c>
      <c r="L91" s="7" t="str">
        <f t="shared" si="148"/>
        <v>D</v>
      </c>
      <c r="M91" s="7">
        <v>72</v>
      </c>
      <c r="N91" s="7" t="str">
        <f t="shared" si="149"/>
        <v>C</v>
      </c>
      <c r="O91" s="7">
        <v>67</v>
      </c>
      <c r="P91" s="7" t="str">
        <f>IF(O91="-", "Absent", IF(O91&gt;=75, "D", IF(O91&gt;=55, "C", IF(O91&gt;=35, "S", IF(O91&gt;=0, "F")))))</f>
        <v>C</v>
      </c>
      <c r="Q91" s="7">
        <v>78</v>
      </c>
      <c r="R91" s="7" t="str">
        <f t="shared" si="151"/>
        <v>D</v>
      </c>
      <c r="S91" s="7">
        <v>76</v>
      </c>
      <c r="T91" s="7" t="str">
        <f t="shared" si="152"/>
        <v>D</v>
      </c>
      <c r="U91" s="7">
        <v>58</v>
      </c>
      <c r="V91" s="7" t="str">
        <f t="shared" si="153"/>
        <v>C</v>
      </c>
      <c r="W91" s="7">
        <v>82</v>
      </c>
      <c r="X91" s="7" t="str">
        <f t="shared" si="154"/>
        <v>D</v>
      </c>
      <c r="Y91" s="7">
        <v>24</v>
      </c>
      <c r="Z91" s="7" t="str">
        <f t="shared" si="155"/>
        <v>F</v>
      </c>
      <c r="AA91" s="7">
        <f t="shared" si="141"/>
        <v>658</v>
      </c>
      <c r="AB91" s="7" t="str">
        <f t="shared" si="142"/>
        <v>66%</v>
      </c>
      <c r="AC91" s="14" t="s">
        <v>15</v>
      </c>
      <c r="AD91" s="7">
        <v>10</v>
      </c>
      <c r="AE91" s="7">
        <f t="shared" si="157"/>
        <v>0</v>
      </c>
      <c r="AF91" s="7">
        <f t="shared" si="158"/>
        <v>1</v>
      </c>
      <c r="AG91" s="7">
        <f t="shared" si="159"/>
        <v>0</v>
      </c>
      <c r="AH91" s="12"/>
      <c r="AI91" s="14" t="s">
        <v>15</v>
      </c>
      <c r="AJ91" s="7">
        <v>10</v>
      </c>
      <c r="AK91" s="32" t="str">
        <f t="shared" si="160"/>
        <v>Not Completed</v>
      </c>
    </row>
    <row r="92" spans="2:37" ht="27" customHeight="1">
      <c r="B92" s="28">
        <v>85</v>
      </c>
      <c r="C92" s="29" t="s">
        <v>199</v>
      </c>
      <c r="D92" s="30" t="s">
        <v>200</v>
      </c>
      <c r="E92" s="4" t="s">
        <v>213</v>
      </c>
      <c r="F92" s="34" t="s">
        <v>476</v>
      </c>
      <c r="G92" s="7">
        <v>57</v>
      </c>
      <c r="H92" s="7" t="str">
        <f t="shared" si="146"/>
        <v>C</v>
      </c>
      <c r="I92" s="7">
        <v>54</v>
      </c>
      <c r="J92" s="7" t="str">
        <f t="shared" si="147"/>
        <v>S</v>
      </c>
      <c r="K92" s="7">
        <v>48</v>
      </c>
      <c r="L92" s="7" t="str">
        <f t="shared" si="148"/>
        <v>S</v>
      </c>
      <c r="M92" s="7">
        <v>60</v>
      </c>
      <c r="N92" s="7" t="str">
        <f t="shared" si="149"/>
        <v>C</v>
      </c>
      <c r="O92" s="7">
        <v>36</v>
      </c>
      <c r="P92" s="7" t="str">
        <f t="shared" si="150"/>
        <v>S</v>
      </c>
      <c r="Q92" s="7">
        <v>23</v>
      </c>
      <c r="R92" s="7" t="str">
        <f t="shared" si="151"/>
        <v>F</v>
      </c>
      <c r="S92" s="7">
        <v>29</v>
      </c>
      <c r="T92" s="7" t="str">
        <f t="shared" si="152"/>
        <v>F</v>
      </c>
      <c r="U92" s="7">
        <v>37</v>
      </c>
      <c r="V92" s="7" t="str">
        <f t="shared" si="153"/>
        <v>S</v>
      </c>
      <c r="W92" s="7">
        <v>65</v>
      </c>
      <c r="X92" s="7" t="str">
        <f t="shared" si="154"/>
        <v>C</v>
      </c>
      <c r="Y92" s="7">
        <v>44</v>
      </c>
      <c r="Z92" s="7" t="str">
        <f t="shared" si="155"/>
        <v>S</v>
      </c>
      <c r="AA92" s="7">
        <f t="shared" si="141"/>
        <v>453</v>
      </c>
      <c r="AB92" s="7" t="str">
        <f t="shared" si="142"/>
        <v>45%</v>
      </c>
      <c r="AC92" s="14" t="s">
        <v>15</v>
      </c>
      <c r="AD92" s="7" t="s">
        <v>459</v>
      </c>
      <c r="AE92" s="7">
        <f t="shared" si="157"/>
        <v>5</v>
      </c>
      <c r="AF92" s="7">
        <f t="shared" si="158"/>
        <v>2</v>
      </c>
      <c r="AG92" s="7">
        <f t="shared" si="159"/>
        <v>0</v>
      </c>
      <c r="AH92" s="12"/>
      <c r="AI92" s="14" t="s">
        <v>15</v>
      </c>
      <c r="AJ92" s="7" t="s">
        <v>459</v>
      </c>
      <c r="AK92" s="32" t="str">
        <f t="shared" si="160"/>
        <v>Not Completed</v>
      </c>
    </row>
    <row r="93" spans="2:37" ht="27" customHeight="1">
      <c r="B93" s="28">
        <v>86</v>
      </c>
      <c r="C93" s="29" t="s">
        <v>201</v>
      </c>
      <c r="D93" s="30" t="s">
        <v>202</v>
      </c>
      <c r="E93" s="4" t="s">
        <v>214</v>
      </c>
      <c r="F93" s="34" t="s">
        <v>476</v>
      </c>
      <c r="G93" s="7">
        <v>72</v>
      </c>
      <c r="H93" s="7" t="str">
        <f>IF(G93="-", "Absent", IF(G93&gt;=75, "D", IF(G93&gt;=55, "C", IF(G93&gt;=35, "S", IF(G93&gt;=0, "F")))))</f>
        <v>C</v>
      </c>
      <c r="I93" s="7">
        <v>81</v>
      </c>
      <c r="J93" s="7" t="str">
        <f>IF(I93="-", "Absent", IF(I93&gt;=75, "D", IF(I93&gt;=55, "C", IF(I93&gt;=35, "S", IF(I93&gt;=0, "F")))))</f>
        <v>D</v>
      </c>
      <c r="K93" s="7">
        <v>85</v>
      </c>
      <c r="L93" s="7" t="str">
        <f>IF(K93="-", "Absent", IF(K93&gt;=75, "D", IF(K93&gt;=55, "C", IF(K93&gt;=35, "S", IF(K93&gt;=0, "F")))))</f>
        <v>D</v>
      </c>
      <c r="M93" s="7">
        <v>74</v>
      </c>
      <c r="N93" s="7" t="str">
        <f>IF(M93="-", "Absent", IF(M93&gt;=75, "D", IF(M93&gt;=55, "C", IF(M93&gt;=35, "S", IF(M93&gt;=0, "F")))))</f>
        <v>C</v>
      </c>
      <c r="O93" s="7">
        <v>53</v>
      </c>
      <c r="P93" s="7" t="str">
        <f>IF(O93="-", "Absent", IF(O93&gt;=75, "D", IF(O93&gt;=55, "C", IF(O93&gt;=35, "S", IF(O93&gt;=0, "F")))))</f>
        <v>S</v>
      </c>
      <c r="Q93" s="7">
        <v>85</v>
      </c>
      <c r="R93" s="7" t="str">
        <f>IF(Q93="-", "Absent", IF(Q93&gt;=75, "D", IF(Q93&gt;=55, "C", IF(Q93&gt;=35, "S", IF(Q93&gt;=0, "F")))))</f>
        <v>D</v>
      </c>
      <c r="S93" s="7">
        <v>83</v>
      </c>
      <c r="T93" s="7" t="str">
        <f>IF(S93="-", "Absent", IF(S93&gt;=75, "D", IF(S93&gt;=55, "C", IF(S93&gt;=35, "S", IF(S93&gt;=0, "F")))))</f>
        <v>D</v>
      </c>
      <c r="U93" s="7">
        <v>72</v>
      </c>
      <c r="V93" s="7" t="str">
        <f>IF(U93="-", "Absent", IF(U93&gt;=75, "D", IF(U93&gt;=55, "C", IF(U93&gt;=35, "S", IF(U93&gt;=0, "F")))))</f>
        <v>C</v>
      </c>
      <c r="W93" s="7">
        <v>71</v>
      </c>
      <c r="X93" s="7" t="str">
        <f>IF(W93="-", "Absent", IF(W93&gt;=75, "D", IF(W93&gt;=55, "C", IF(W93&gt;=35, "S", IF(W93&gt;=0, "F")))))</f>
        <v>C</v>
      </c>
      <c r="Y93" s="7" t="s">
        <v>6</v>
      </c>
      <c r="Z93" s="7" t="str">
        <f>IF(Y93="-", "AB", IF(Y93&gt;=75, "D", IF(Y93&gt;=55, "C", IF(Y93&gt;=35, "S", IF(Y93&gt;=0, "F")))))</f>
        <v>AB</v>
      </c>
      <c r="AA93" s="7">
        <f>SUMIF(G93:Z93, "&lt;&gt;AB")</f>
        <v>676</v>
      </c>
      <c r="AB93" s="7" t="str">
        <f>ROUND(AA93/10, 0)&amp;"%"</f>
        <v>68%</v>
      </c>
      <c r="AC93" s="14" t="str">
        <f t="shared" ref="AC93" si="161">IF(AA93&gt;0, "Not Completed",
   IF(W93=10, "First Class",
      IF(V93&gt;75, IF(Y93&gt;0, "Ordinary Pass", "First Class"),
         IF(V93&gt;65, IF(Y93&gt;0, "Ordinary Pass", "Second Class"),
            IF(V93&lt;65, "Ordinary Pass", "")
         )
      )
   )
)</f>
        <v>Not Completed</v>
      </c>
      <c r="AD93" s="7"/>
      <c r="AE93" s="7">
        <f t="shared" si="157"/>
        <v>1</v>
      </c>
      <c r="AF93" s="7">
        <f t="shared" si="158"/>
        <v>0</v>
      </c>
      <c r="AG93" s="7">
        <f t="shared" si="159"/>
        <v>1</v>
      </c>
      <c r="AH93" s="12"/>
      <c r="AI93" s="14" t="str">
        <f>IF(AG93&gt;0, "Not Completed",
   IF(AC93=10, "First Class",
      IF(AB93&gt;75, IF(AE93&gt;0, "Ordinary Pass", "First Class"),
         IF(AB93&gt;65, IF(AE93&gt;0, "Ordinary Pass", "Second Class"),
            IF(AB93&lt;65, "Ordinary Pass", "")
         )
      )
   )
)</f>
        <v>Not Completed</v>
      </c>
      <c r="AJ93" s="7"/>
      <c r="AK93" s="32" t="str">
        <f t="shared" si="160"/>
        <v>Not Completed</v>
      </c>
    </row>
    <row r="94" spans="2:37" ht="27" customHeight="1">
      <c r="B94" s="28">
        <v>87</v>
      </c>
      <c r="C94" s="29" t="s">
        <v>203</v>
      </c>
      <c r="D94" s="30" t="s">
        <v>204</v>
      </c>
      <c r="E94" s="4" t="s">
        <v>215</v>
      </c>
      <c r="F94" s="30" t="s">
        <v>476</v>
      </c>
      <c r="G94" s="7">
        <v>44</v>
      </c>
      <c r="H94" s="7" t="str">
        <f t="shared" ref="H94" si="162">IF(G94="-", "Absent", IF(G94&gt;=75, "D", IF(G94&gt;=55, "C", IF(G94&gt;=35, "S", IF(G94&gt;=0, "F")))))</f>
        <v>S</v>
      </c>
      <c r="I94" s="7">
        <v>52</v>
      </c>
      <c r="J94" s="7" t="str">
        <f t="shared" ref="J94" si="163">IF(I94="-", "Absent", IF(I94&gt;=75, "D", IF(I94&gt;=55, "C", IF(I94&gt;=35, "S", IF(I94&gt;=0, "F")))))</f>
        <v>S</v>
      </c>
      <c r="K94" s="7">
        <v>45</v>
      </c>
      <c r="L94" s="7" t="str">
        <f t="shared" ref="L94" si="164">IF(K94="-", "Absent", IF(K94&gt;=75, "D", IF(K94&gt;=55, "C", IF(K94&gt;=35, "S", IF(K94&gt;=0, "F")))))</f>
        <v>S</v>
      </c>
      <c r="M94" s="7">
        <v>45</v>
      </c>
      <c r="N94" s="7" t="str">
        <f t="shared" ref="N94" si="165">IF(M94="-", "Absent", IF(M94&gt;=75, "D", IF(M94&gt;=55, "C", IF(M94&gt;=35, "S", IF(M94&gt;=0, "F")))))</f>
        <v>S</v>
      </c>
      <c r="O94" s="7">
        <v>36</v>
      </c>
      <c r="P94" s="7" t="str">
        <f t="shared" ref="P94" si="166">IF(O94="-", "Absent", IF(O94&gt;=75, "D", IF(O94&gt;=55, "C", IF(O94&gt;=35, "S", IF(O94&gt;=0, "F")))))</f>
        <v>S</v>
      </c>
      <c r="Q94" s="7">
        <v>48</v>
      </c>
      <c r="R94" s="7" t="str">
        <f t="shared" ref="R94" si="167">IF(Q94="-", "Absent", IF(Q94&gt;=75, "D", IF(Q94&gt;=55, "C", IF(Q94&gt;=35, "S", IF(Q94&gt;=0, "F")))))</f>
        <v>S</v>
      </c>
      <c r="S94" s="7">
        <v>52</v>
      </c>
      <c r="T94" s="7" t="str">
        <f t="shared" ref="T94" si="168">IF(S94="-", "Absent", IF(S94&gt;=75, "D", IF(S94&gt;=55, "C", IF(S94&gt;=35, "S", IF(S94&gt;=0, "F")))))</f>
        <v>S</v>
      </c>
      <c r="U94" s="7">
        <v>44</v>
      </c>
      <c r="V94" s="7" t="str">
        <f t="shared" ref="V94" si="169">IF(U94="-", "Absent", IF(U94&gt;=75, "D", IF(U94&gt;=55, "C", IF(U94&gt;=35, "S", IF(U94&gt;=0, "F")))))</f>
        <v>S</v>
      </c>
      <c r="W94" s="7">
        <v>45</v>
      </c>
      <c r="X94" s="7" t="str">
        <f t="shared" ref="X94" si="170">IF(W94="-", "Absent", IF(W94&gt;=75, "D", IF(W94&gt;=55, "C", IF(W94&gt;=35, "S", IF(W94&gt;=0, "F")))))</f>
        <v>S</v>
      </c>
      <c r="Y94" s="7">
        <v>41</v>
      </c>
      <c r="Z94" s="7" t="str">
        <f t="shared" ref="Z94" si="171">IF(Y94="-", "AB", IF(Y94&gt;=75, "D", IF(Y94&gt;=55, "C", IF(Y94&gt;=35, "S", IF(Y94&gt;=0, "F")))))</f>
        <v>S</v>
      </c>
      <c r="AA94" s="7">
        <f t="shared" ref="AA94:AA109" si="172">SUMIF(G94:Z94, "&lt;&gt;AB")</f>
        <v>452</v>
      </c>
      <c r="AB94" s="7" t="str">
        <f t="shared" ref="AB94:AB109" si="173">ROUND(AA94/10, 0)&amp;"%"</f>
        <v>45%</v>
      </c>
      <c r="AC94" s="14" t="s">
        <v>454</v>
      </c>
      <c r="AD94" s="7"/>
      <c r="AE94" s="7">
        <f t="shared" si="157"/>
        <v>9</v>
      </c>
      <c r="AF94" s="7">
        <f t="shared" si="158"/>
        <v>0</v>
      </c>
      <c r="AG94" s="7">
        <f t="shared" si="159"/>
        <v>0</v>
      </c>
      <c r="AH94" s="12"/>
      <c r="AI94" s="14" t="str">
        <f>IF(AG94&gt;0, "Not Completed",
   IF(AC94=10, "First Class",
      IF(AB94&gt;75, IF(AE94&gt;0, "Ordinary Pass", "First Class"),
         IF(AB94&gt;65, IF(AE94&gt;0, "Ordinary Pass", "Second Class"),
            IF(AB94&lt;65, "Ordinary Pass", "")
         )
      )
   )
)</f>
        <v>Ordinary Pass</v>
      </c>
      <c r="AJ94" s="7"/>
      <c r="AK94" s="32" t="str">
        <f t="shared" si="160"/>
        <v>Not Completed</v>
      </c>
    </row>
    <row r="95" spans="2:37" ht="27" customHeight="1">
      <c r="B95" s="28">
        <v>88</v>
      </c>
      <c r="C95" s="33" t="s">
        <v>216</v>
      </c>
      <c r="D95" s="34" t="s">
        <v>217</v>
      </c>
      <c r="E95" s="4" t="s">
        <v>221</v>
      </c>
      <c r="F95" s="34" t="s">
        <v>477</v>
      </c>
      <c r="G95" s="7">
        <v>41</v>
      </c>
      <c r="H95" s="7" t="str">
        <f>IF(G95="-", "Absent", IF(G95&gt;=75, "D", IF(G95&gt;=55, "C", IF(G95&gt;=35, "S", IF(G95&gt;=0, "F")))))</f>
        <v>S</v>
      </c>
      <c r="I95" s="7">
        <v>83</v>
      </c>
      <c r="J95" s="7" t="str">
        <f>IF(I95="-", "Absent", IF(I95&gt;=75, "D", IF(I95&gt;=55, "C", IF(I95&gt;=35, "S", IF(I95&gt;=0, "F")))))</f>
        <v>D</v>
      </c>
      <c r="K95" s="7">
        <v>84</v>
      </c>
      <c r="L95" s="7" t="str">
        <f>IF(K95="-", "Absent", IF(K95&gt;=75, "D", IF(K95&gt;=55, "C", IF(K95&gt;=35, "S", IF(K95&gt;=0, "F")))))</f>
        <v>D</v>
      </c>
      <c r="M95" s="7">
        <v>65</v>
      </c>
      <c r="N95" s="7" t="str">
        <f>IF(M95="-", "Absent", IF(M95&gt;=75, "D", IF(M95&gt;=55, "C", IF(M95&gt;=35, "S", IF(M95&gt;=0, "F")))))</f>
        <v>C</v>
      </c>
      <c r="O95" s="7">
        <v>68</v>
      </c>
      <c r="P95" s="7" t="str">
        <f>IF(O95="-", "Absent", IF(O95&gt;=75, "D", IF(O95&gt;=55, "C", IF(O95&gt;=35, "S", IF(O95&gt;=0, "F")))))</f>
        <v>C</v>
      </c>
      <c r="Q95" s="7">
        <v>54</v>
      </c>
      <c r="R95" s="7" t="str">
        <f>IF(Q95="-", "Absent", IF(Q95&gt;=75, "D", IF(Q95&gt;=55, "C", IF(Q95&gt;=35, "S", IF(Q95&gt;=0, "F")))))</f>
        <v>S</v>
      </c>
      <c r="S95" s="7">
        <v>46</v>
      </c>
      <c r="T95" s="7" t="str">
        <f>IF(S95="-", "Absent", IF(S95&gt;=75, "D", IF(S95&gt;=55, "C", IF(S95&gt;=35, "S", IF(S95&gt;=0, "F")))))</f>
        <v>S</v>
      </c>
      <c r="U95" s="7">
        <v>50</v>
      </c>
      <c r="V95" s="7" t="str">
        <f>IF(U95="-", "Absent", IF(U95&gt;=75, "D", IF(U95&gt;=55, "C", IF(U95&gt;=35, "S", IF(U95&gt;=0, "F")))))</f>
        <v>S</v>
      </c>
      <c r="W95" s="7">
        <v>64</v>
      </c>
      <c r="X95" s="7" t="str">
        <f>IF(W95="-", "Absent", IF(W95&gt;=75, "D", IF(W95&gt;=55, "C", IF(W95&gt;=35, "S", IF(W95&gt;=0, "F")))))</f>
        <v>C</v>
      </c>
      <c r="Y95" s="7">
        <v>24</v>
      </c>
      <c r="Z95" s="7" t="str">
        <f>IF(Y95="-", "AB", IF(Y95&gt;=75, "D", IF(Y95&gt;=55, "C", IF(Y95&gt;=35, "S", IF(Y95&gt;=0, "F")))))</f>
        <v>F</v>
      </c>
      <c r="AA95" s="7">
        <f t="shared" si="172"/>
        <v>579</v>
      </c>
      <c r="AB95" s="7" t="str">
        <f t="shared" si="173"/>
        <v>58%</v>
      </c>
      <c r="AC95" s="14" t="s">
        <v>15</v>
      </c>
      <c r="AD95" s="7">
        <v>10</v>
      </c>
      <c r="AE95" s="7">
        <f t="shared" si="157"/>
        <v>3</v>
      </c>
      <c r="AF95" s="7">
        <f t="shared" si="158"/>
        <v>1</v>
      </c>
      <c r="AG95" s="7">
        <f t="shared" si="159"/>
        <v>0</v>
      </c>
      <c r="AH95" s="12"/>
      <c r="AI95" s="14" t="s">
        <v>15</v>
      </c>
      <c r="AJ95" s="7">
        <v>10</v>
      </c>
      <c r="AK95" s="32" t="str">
        <f t="shared" si="160"/>
        <v>Not Completed</v>
      </c>
    </row>
    <row r="96" spans="2:37" ht="27" customHeight="1">
      <c r="B96" s="28">
        <v>89</v>
      </c>
      <c r="C96" s="29" t="s">
        <v>218</v>
      </c>
      <c r="D96" s="30" t="s">
        <v>219</v>
      </c>
      <c r="E96" s="4" t="s">
        <v>222</v>
      </c>
      <c r="F96" s="34" t="s">
        <v>477</v>
      </c>
      <c r="G96" s="7">
        <v>56</v>
      </c>
      <c r="H96" s="7" t="str">
        <f t="shared" ref="H96:H109" si="174">IF(G96="-", "Absent", IF(G96&gt;=75, "D", IF(G96&gt;=55, "C", IF(G96&gt;=35, "S", IF(G96&gt;=0, "F")))))</f>
        <v>C</v>
      </c>
      <c r="I96" s="7">
        <v>73</v>
      </c>
      <c r="J96" s="7" t="str">
        <f t="shared" ref="J96:J109" si="175">IF(I96="-", "Absent", IF(I96&gt;=75, "D", IF(I96&gt;=55, "C", IF(I96&gt;=35, "S", IF(I96&gt;=0, "F")))))</f>
        <v>C</v>
      </c>
      <c r="K96" s="7">
        <v>71</v>
      </c>
      <c r="L96" s="7" t="str">
        <f t="shared" ref="L96:L109" si="176">IF(K96="-", "Absent", IF(K96&gt;=75, "D", IF(K96&gt;=55, "C", IF(K96&gt;=35, "S", IF(K96&gt;=0, "F")))))</f>
        <v>C</v>
      </c>
      <c r="M96" s="7">
        <v>55</v>
      </c>
      <c r="N96" s="7" t="str">
        <f t="shared" ref="N96:N109" si="177">IF(M96="-", "Absent", IF(M96&gt;=75, "D", IF(M96&gt;=55, "C", IF(M96&gt;=35, "S", IF(M96&gt;=0, "F")))))</f>
        <v>C</v>
      </c>
      <c r="O96" s="7">
        <v>48</v>
      </c>
      <c r="P96" s="7" t="str">
        <f t="shared" ref="P96:P109" si="178">IF(O96="-", "Absent", IF(O96&gt;=75, "D", IF(O96&gt;=55, "C", IF(O96&gt;=35, "S", IF(O96&gt;=0, "F")))))</f>
        <v>S</v>
      </c>
      <c r="Q96" s="7" t="s">
        <v>6</v>
      </c>
      <c r="R96" s="7" t="str">
        <f t="shared" ref="R96:X97" si="179">IF(Q96="-", "AB", IF(Q96&gt;=75, "D", IF(Q96&gt;=55, "C", IF(Q96&gt;=35, "S", IF(Q96&gt;=0, "F")))))</f>
        <v>AB</v>
      </c>
      <c r="S96" s="7" t="s">
        <v>6</v>
      </c>
      <c r="T96" s="7" t="str">
        <f t="shared" si="179"/>
        <v>AB</v>
      </c>
      <c r="U96" s="7" t="s">
        <v>6</v>
      </c>
      <c r="V96" s="7" t="str">
        <f t="shared" si="179"/>
        <v>AB</v>
      </c>
      <c r="W96" s="7" t="s">
        <v>6</v>
      </c>
      <c r="X96" s="7" t="str">
        <f t="shared" si="179"/>
        <v>AB</v>
      </c>
      <c r="Y96" s="7" t="s">
        <v>6</v>
      </c>
      <c r="Z96" s="7" t="str">
        <f t="shared" ref="Z96:Z109" si="180">IF(Y96="-", "AB", IF(Y96&gt;=75, "D", IF(Y96&gt;=55, "C", IF(Y96&gt;=35, "S", IF(Y96&gt;=0, "F")))))</f>
        <v>AB</v>
      </c>
      <c r="AA96" s="7">
        <f t="shared" si="172"/>
        <v>303</v>
      </c>
      <c r="AB96" s="7" t="str">
        <f t="shared" si="173"/>
        <v>30%</v>
      </c>
      <c r="AC96" s="14" t="str">
        <f t="shared" ref="AC96:AC109" si="181">IF(AA96&gt;0, "Not Completed",
   IF(W96=10, "First Class",
      IF(V96&gt;75, IF(Y96&gt;0, "Ordinary Pass", "First Class"),
         IF(V96&gt;65, IF(Y96&gt;0, "Ordinary Pass", "Second Class"),
            IF(V96&lt;65, "Ordinary Pass", "")
         )
      )
   )
)</f>
        <v>Not Completed</v>
      </c>
      <c r="AD96" s="7"/>
      <c r="AE96" s="7">
        <f t="shared" si="157"/>
        <v>1</v>
      </c>
      <c r="AF96" s="7">
        <f t="shared" si="158"/>
        <v>0</v>
      </c>
      <c r="AG96" s="7">
        <f t="shared" si="159"/>
        <v>5</v>
      </c>
      <c r="AH96" s="12"/>
      <c r="AI96" s="14" t="str">
        <f>IF(AG96&gt;0, "Not Completed",
   IF(AC96=10, "First Class",
      IF(AB96&gt;75, IF(AE96&gt;0, "Ordinary Pass", "First Class"),
         IF(AB96&gt;65, IF(AE96&gt;0, "Ordinary Pass", "Second Class"),
            IF(AB96&lt;65, "Ordinary Pass", "")
         )
      )
   )
)</f>
        <v>Not Completed</v>
      </c>
      <c r="AJ96" s="7"/>
      <c r="AK96" s="32" t="str">
        <f t="shared" si="160"/>
        <v>Not Completed</v>
      </c>
    </row>
    <row r="97" spans="2:37" ht="27" customHeight="1">
      <c r="B97" s="28">
        <v>90</v>
      </c>
      <c r="C97" s="29" t="s">
        <v>220</v>
      </c>
      <c r="D97" s="30">
        <v>199179001040</v>
      </c>
      <c r="E97" s="4" t="s">
        <v>223</v>
      </c>
      <c r="F97" s="34" t="s">
        <v>477</v>
      </c>
      <c r="G97" s="7">
        <v>42</v>
      </c>
      <c r="H97" s="7" t="str">
        <f t="shared" si="174"/>
        <v>S</v>
      </c>
      <c r="I97" s="7">
        <v>74</v>
      </c>
      <c r="J97" s="7" t="str">
        <f t="shared" si="175"/>
        <v>C</v>
      </c>
      <c r="K97" s="7">
        <v>83</v>
      </c>
      <c r="L97" s="7" t="str">
        <f t="shared" si="176"/>
        <v>D</v>
      </c>
      <c r="M97" s="7">
        <v>88</v>
      </c>
      <c r="N97" s="7" t="str">
        <f t="shared" si="177"/>
        <v>D</v>
      </c>
      <c r="O97" s="7">
        <v>50</v>
      </c>
      <c r="P97" s="7" t="str">
        <f t="shared" si="178"/>
        <v>S</v>
      </c>
      <c r="Q97" s="7" t="s">
        <v>6</v>
      </c>
      <c r="R97" s="7" t="str">
        <f t="shared" si="179"/>
        <v>AB</v>
      </c>
      <c r="S97" s="7" t="s">
        <v>6</v>
      </c>
      <c r="T97" s="7" t="str">
        <f t="shared" si="179"/>
        <v>AB</v>
      </c>
      <c r="U97" s="7" t="s">
        <v>6</v>
      </c>
      <c r="V97" s="7" t="str">
        <f t="shared" si="179"/>
        <v>AB</v>
      </c>
      <c r="W97" s="7" t="s">
        <v>6</v>
      </c>
      <c r="X97" s="7" t="str">
        <f t="shared" si="179"/>
        <v>AB</v>
      </c>
      <c r="Y97" s="7" t="s">
        <v>6</v>
      </c>
      <c r="Z97" s="7" t="str">
        <f t="shared" si="180"/>
        <v>AB</v>
      </c>
      <c r="AA97" s="7">
        <f t="shared" si="172"/>
        <v>337</v>
      </c>
      <c r="AB97" s="7" t="str">
        <f t="shared" si="173"/>
        <v>34%</v>
      </c>
      <c r="AC97" s="14" t="str">
        <f t="shared" si="181"/>
        <v>Not Completed</v>
      </c>
      <c r="AD97" s="7"/>
      <c r="AE97" s="7">
        <f t="shared" si="157"/>
        <v>1</v>
      </c>
      <c r="AF97" s="7">
        <f t="shared" si="158"/>
        <v>0</v>
      </c>
      <c r="AG97" s="7">
        <f t="shared" si="159"/>
        <v>5</v>
      </c>
      <c r="AH97" s="12"/>
      <c r="AI97" s="14" t="str">
        <f>IF(AG97&gt;0, "Not Completed",
   IF(AC97=10, "First Class",
      IF(AB97&gt;75, IF(AE97&gt;0, "Ordinary Pass", "First Class"),
         IF(AB97&gt;65, IF(AE97&gt;0, "Ordinary Pass", "Second Class"),
            IF(AB97&lt;65, "Ordinary Pass", "")
         )
      )
   )
)</f>
        <v>Not Completed</v>
      </c>
      <c r="AJ97" s="7"/>
      <c r="AK97" s="32" t="str">
        <f t="shared" si="160"/>
        <v>Not Completed</v>
      </c>
    </row>
    <row r="98" spans="2:37" ht="27" customHeight="1">
      <c r="B98" s="28">
        <v>91</v>
      </c>
      <c r="C98" s="29" t="s">
        <v>241</v>
      </c>
      <c r="D98" s="30" t="s">
        <v>242</v>
      </c>
      <c r="E98" s="4" t="s">
        <v>224</v>
      </c>
      <c r="F98" s="34" t="s">
        <v>477</v>
      </c>
      <c r="G98" s="7">
        <v>42</v>
      </c>
      <c r="H98" s="7" t="str">
        <f t="shared" si="174"/>
        <v>S</v>
      </c>
      <c r="I98" s="7">
        <v>60</v>
      </c>
      <c r="J98" s="7" t="str">
        <f t="shared" si="175"/>
        <v>C</v>
      </c>
      <c r="K98" s="7">
        <v>78</v>
      </c>
      <c r="L98" s="7" t="str">
        <f t="shared" si="176"/>
        <v>D</v>
      </c>
      <c r="M98" s="7">
        <v>64</v>
      </c>
      <c r="N98" s="7" t="str">
        <f t="shared" si="177"/>
        <v>C</v>
      </c>
      <c r="O98" s="7">
        <v>63</v>
      </c>
      <c r="P98" s="7" t="str">
        <f t="shared" si="178"/>
        <v>C</v>
      </c>
      <c r="Q98" s="7">
        <v>44</v>
      </c>
      <c r="R98" s="7" t="str">
        <f t="shared" ref="R98:R109" si="182">IF(Q98="-", "Absent", IF(Q98&gt;=75, "D", IF(Q98&gt;=55, "C", IF(Q98&gt;=35, "S", IF(Q98&gt;=0, "F")))))</f>
        <v>S</v>
      </c>
      <c r="S98" s="7">
        <v>58</v>
      </c>
      <c r="T98" s="7" t="str">
        <f t="shared" ref="T98:T109" si="183">IF(S98="-", "Absent", IF(S98&gt;=75, "D", IF(S98&gt;=55, "C", IF(S98&gt;=35, "S", IF(S98&gt;=0, "F")))))</f>
        <v>C</v>
      </c>
      <c r="U98" s="7">
        <v>29</v>
      </c>
      <c r="V98" s="7" t="str">
        <f t="shared" ref="V98:V109" si="184">IF(U98="-", "Absent", IF(U98&gt;=75, "D", IF(U98&gt;=55, "C", IF(U98&gt;=35, "S", IF(U98&gt;=0, "F")))))</f>
        <v>F</v>
      </c>
      <c r="W98" s="7" t="s">
        <v>6</v>
      </c>
      <c r="X98" s="7" t="s">
        <v>403</v>
      </c>
      <c r="Y98" s="7" t="s">
        <v>6</v>
      </c>
      <c r="Z98" s="7" t="str">
        <f t="shared" si="180"/>
        <v>AB</v>
      </c>
      <c r="AA98" s="7">
        <f t="shared" si="172"/>
        <v>438</v>
      </c>
      <c r="AB98" s="7" t="str">
        <f t="shared" si="173"/>
        <v>44%</v>
      </c>
      <c r="AC98" s="14" t="str">
        <f t="shared" si="181"/>
        <v>Not Completed</v>
      </c>
      <c r="AD98" s="7">
        <v>8</v>
      </c>
      <c r="AE98" s="7">
        <f t="shared" si="157"/>
        <v>1</v>
      </c>
      <c r="AF98" s="7">
        <f t="shared" si="158"/>
        <v>1</v>
      </c>
      <c r="AG98" s="7">
        <f t="shared" si="159"/>
        <v>2</v>
      </c>
      <c r="AH98" s="12"/>
      <c r="AI98" s="14" t="str">
        <f>IF(AG98&gt;0, "Not Completed",
   IF(AC98=10, "First Class",
      IF(AB98&gt;75, IF(AE98&gt;0, "Ordinary Pass", "First Class"),
         IF(AB98&gt;65, IF(AE98&gt;0, "Ordinary Pass", "Second Class"),
            IF(AB98&lt;65, "Ordinary Pass", "")
         )
      )
   )
)</f>
        <v>Not Completed</v>
      </c>
      <c r="AJ98" s="7">
        <v>8</v>
      </c>
      <c r="AK98" s="32" t="str">
        <f t="shared" si="160"/>
        <v>Not Completed</v>
      </c>
    </row>
    <row r="99" spans="2:37" ht="27" customHeight="1">
      <c r="B99" s="28">
        <v>92</v>
      </c>
      <c r="C99" s="29" t="s">
        <v>243</v>
      </c>
      <c r="D99" s="30" t="s">
        <v>244</v>
      </c>
      <c r="E99" s="4" t="s">
        <v>225</v>
      </c>
      <c r="F99" s="34" t="s">
        <v>477</v>
      </c>
      <c r="G99" s="7">
        <v>22</v>
      </c>
      <c r="H99" s="7" t="str">
        <f t="shared" si="174"/>
        <v>F</v>
      </c>
      <c r="I99" s="7">
        <v>48</v>
      </c>
      <c r="J99" s="7" t="str">
        <f t="shared" si="175"/>
        <v>S</v>
      </c>
      <c r="K99" s="7">
        <v>52</v>
      </c>
      <c r="L99" s="7" t="str">
        <f t="shared" si="176"/>
        <v>S</v>
      </c>
      <c r="M99" s="7">
        <v>39</v>
      </c>
      <c r="N99" s="7" t="str">
        <f t="shared" si="177"/>
        <v>S</v>
      </c>
      <c r="O99" s="7">
        <v>37</v>
      </c>
      <c r="P99" s="7" t="str">
        <f t="shared" si="178"/>
        <v>S</v>
      </c>
      <c r="Q99" s="7">
        <v>36</v>
      </c>
      <c r="R99" s="7" t="str">
        <f t="shared" si="182"/>
        <v>S</v>
      </c>
      <c r="S99" s="7">
        <v>39</v>
      </c>
      <c r="T99" s="7" t="str">
        <f t="shared" si="183"/>
        <v>S</v>
      </c>
      <c r="U99" s="7">
        <v>32</v>
      </c>
      <c r="V99" s="7" t="str">
        <f t="shared" si="184"/>
        <v>F</v>
      </c>
      <c r="W99" s="7">
        <v>47</v>
      </c>
      <c r="X99" s="7" t="str">
        <f t="shared" ref="X99:X109" si="185">IF(W99="-", "Absent", IF(W99&gt;=75, "D", IF(W99&gt;=55, "C", IF(W99&gt;=35, "S", IF(W99&gt;=0, "F")))))</f>
        <v>S</v>
      </c>
      <c r="Y99" s="7">
        <v>11</v>
      </c>
      <c r="Z99" s="7" t="str">
        <f t="shared" si="180"/>
        <v>F</v>
      </c>
      <c r="AA99" s="7">
        <f t="shared" si="172"/>
        <v>363</v>
      </c>
      <c r="AB99" s="7" t="str">
        <f t="shared" si="173"/>
        <v>36%</v>
      </c>
      <c r="AC99" s="14" t="s">
        <v>453</v>
      </c>
      <c r="AD99" s="7"/>
      <c r="AE99" s="7">
        <f t="shared" si="157"/>
        <v>7</v>
      </c>
      <c r="AF99" s="7">
        <f t="shared" si="158"/>
        <v>2</v>
      </c>
      <c r="AG99" s="7">
        <f t="shared" si="159"/>
        <v>0</v>
      </c>
      <c r="AH99" s="12"/>
      <c r="AI99" s="14" t="s">
        <v>453</v>
      </c>
      <c r="AJ99" s="7"/>
      <c r="AK99" s="32" t="str">
        <f t="shared" si="160"/>
        <v>Not Completed</v>
      </c>
    </row>
    <row r="100" spans="2:37" ht="27" customHeight="1">
      <c r="B100" s="28">
        <v>93</v>
      </c>
      <c r="C100" s="29" t="s">
        <v>245</v>
      </c>
      <c r="D100" s="30">
        <v>198563201738</v>
      </c>
      <c r="E100" s="4" t="s">
        <v>226</v>
      </c>
      <c r="F100" s="34" t="s">
        <v>477</v>
      </c>
      <c r="G100" s="7">
        <v>45</v>
      </c>
      <c r="H100" s="7" t="str">
        <f t="shared" si="174"/>
        <v>S</v>
      </c>
      <c r="I100" s="7">
        <v>77</v>
      </c>
      <c r="J100" s="7" t="str">
        <f t="shared" si="175"/>
        <v>D</v>
      </c>
      <c r="K100" s="7">
        <v>75</v>
      </c>
      <c r="L100" s="7" t="str">
        <f t="shared" si="176"/>
        <v>D</v>
      </c>
      <c r="M100" s="7">
        <v>76</v>
      </c>
      <c r="N100" s="7" t="str">
        <f t="shared" si="177"/>
        <v>D</v>
      </c>
      <c r="O100" s="7">
        <v>61</v>
      </c>
      <c r="P100" s="7" t="str">
        <f t="shared" si="178"/>
        <v>C</v>
      </c>
      <c r="Q100" s="7">
        <v>49</v>
      </c>
      <c r="R100" s="7" t="str">
        <f t="shared" si="182"/>
        <v>S</v>
      </c>
      <c r="S100" s="7">
        <v>59</v>
      </c>
      <c r="T100" s="7" t="str">
        <f t="shared" si="183"/>
        <v>C</v>
      </c>
      <c r="U100" s="7">
        <v>61</v>
      </c>
      <c r="V100" s="7" t="str">
        <f t="shared" si="184"/>
        <v>C</v>
      </c>
      <c r="W100" s="7">
        <v>61</v>
      </c>
      <c r="X100" s="7" t="str">
        <f t="shared" si="185"/>
        <v>C</v>
      </c>
      <c r="Y100" s="7">
        <v>53</v>
      </c>
      <c r="Z100" s="7" t="str">
        <f t="shared" si="180"/>
        <v>S</v>
      </c>
      <c r="AA100" s="7">
        <f t="shared" si="172"/>
        <v>617</v>
      </c>
      <c r="AB100" s="7" t="str">
        <f t="shared" si="173"/>
        <v>62%</v>
      </c>
      <c r="AC100" s="14" t="s">
        <v>454</v>
      </c>
      <c r="AD100" s="7"/>
      <c r="AE100" s="7">
        <f t="shared" si="157"/>
        <v>2</v>
      </c>
      <c r="AF100" s="7">
        <f t="shared" si="158"/>
        <v>0</v>
      </c>
      <c r="AG100" s="7">
        <f t="shared" si="159"/>
        <v>0</v>
      </c>
      <c r="AH100" s="12"/>
      <c r="AI100" s="14" t="str">
        <f>IF(AG100&gt;0, "Not Completed",
   IF(AC100=10, "First Class",
      IF(AB100&gt;75, IF(AE100&gt;0, "Ordinary Pass", "First Class"),
         IF(AB100&gt;65, IF(AE100&gt;0, "Ordinary Pass", "Second Class"),
            IF(AB100&lt;65, "Ordinary Pass", "")
         )
      )
   )
)</f>
        <v>Ordinary Pass</v>
      </c>
      <c r="AJ100" s="7"/>
      <c r="AK100" s="32" t="str">
        <f t="shared" si="160"/>
        <v>Not Completed</v>
      </c>
    </row>
    <row r="101" spans="2:37" ht="27" customHeight="1">
      <c r="B101" s="28">
        <v>94</v>
      </c>
      <c r="C101" s="29" t="s">
        <v>246</v>
      </c>
      <c r="D101" s="30" t="s">
        <v>247</v>
      </c>
      <c r="E101" s="4" t="s">
        <v>227</v>
      </c>
      <c r="F101" s="34" t="s">
        <v>477</v>
      </c>
      <c r="G101" s="7">
        <v>49</v>
      </c>
      <c r="H101" s="7" t="str">
        <f t="shared" si="174"/>
        <v>S</v>
      </c>
      <c r="I101" s="7">
        <v>71</v>
      </c>
      <c r="J101" s="7" t="str">
        <f t="shared" si="175"/>
        <v>C</v>
      </c>
      <c r="K101" s="7">
        <v>81</v>
      </c>
      <c r="L101" s="7" t="str">
        <f t="shared" si="176"/>
        <v>D</v>
      </c>
      <c r="M101" s="7">
        <v>78</v>
      </c>
      <c r="N101" s="7" t="str">
        <f t="shared" si="177"/>
        <v>D</v>
      </c>
      <c r="O101" s="7">
        <v>65</v>
      </c>
      <c r="P101" s="7" t="str">
        <f t="shared" si="178"/>
        <v>C</v>
      </c>
      <c r="Q101" s="7" t="s">
        <v>6</v>
      </c>
      <c r="R101" s="7" t="str">
        <f t="shared" ref="N101:X102" si="186">IF(Q101="-", "AB", IF(Q101&gt;=75, "D", IF(Q101&gt;=55, "C", IF(Q101&gt;=35, "S", IF(Q101&gt;=0, "F")))))</f>
        <v>AB</v>
      </c>
      <c r="S101" s="7" t="s">
        <v>6</v>
      </c>
      <c r="T101" s="7" t="str">
        <f t="shared" si="186"/>
        <v>AB</v>
      </c>
      <c r="U101" s="7" t="s">
        <v>6</v>
      </c>
      <c r="V101" s="7" t="str">
        <f t="shared" si="186"/>
        <v>AB</v>
      </c>
      <c r="W101" s="7" t="s">
        <v>6</v>
      </c>
      <c r="X101" s="7" t="str">
        <f t="shared" si="186"/>
        <v>AB</v>
      </c>
      <c r="Y101" s="7" t="s">
        <v>6</v>
      </c>
      <c r="Z101" s="7" t="str">
        <f t="shared" si="180"/>
        <v>AB</v>
      </c>
      <c r="AA101" s="7">
        <f t="shared" si="172"/>
        <v>344</v>
      </c>
      <c r="AB101" s="7" t="str">
        <f t="shared" si="173"/>
        <v>34%</v>
      </c>
      <c r="AC101" s="14" t="str">
        <f t="shared" si="181"/>
        <v>Not Completed</v>
      </c>
      <c r="AD101" s="7"/>
      <c r="AE101" s="7">
        <f t="shared" si="157"/>
        <v>0</v>
      </c>
      <c r="AF101" s="7">
        <f t="shared" si="158"/>
        <v>0</v>
      </c>
      <c r="AG101" s="7">
        <f t="shared" si="159"/>
        <v>5</v>
      </c>
      <c r="AH101" s="12"/>
      <c r="AI101" s="14" t="str">
        <f>IF(AG101&gt;0, "Not Completed",
   IF(AC101=10, "First Class",
      IF(AB101&gt;75, IF(AE101&gt;0, "Ordinary Pass", "First Class"),
         IF(AB101&gt;65, IF(AE101&gt;0, "Ordinary Pass", "Second Class"),
            IF(AB101&lt;65, "Ordinary Pass", "")
         )
      )
   )
)</f>
        <v>Not Completed</v>
      </c>
      <c r="AJ101" s="7"/>
      <c r="AK101" s="32" t="str">
        <f t="shared" si="160"/>
        <v>Not Completed</v>
      </c>
    </row>
    <row r="102" spans="2:37" ht="27" customHeight="1">
      <c r="B102" s="28">
        <v>95</v>
      </c>
      <c r="C102" s="29" t="s">
        <v>248</v>
      </c>
      <c r="D102" s="30" t="s">
        <v>249</v>
      </c>
      <c r="E102" s="4" t="s">
        <v>228</v>
      </c>
      <c r="F102" s="34" t="s">
        <v>477</v>
      </c>
      <c r="G102" s="7">
        <v>51</v>
      </c>
      <c r="H102" s="7" t="str">
        <f t="shared" si="174"/>
        <v>S</v>
      </c>
      <c r="I102" s="7">
        <v>74</v>
      </c>
      <c r="J102" s="7" t="str">
        <f t="shared" si="175"/>
        <v>C</v>
      </c>
      <c r="K102" s="7">
        <v>76</v>
      </c>
      <c r="L102" s="7" t="str">
        <f t="shared" si="176"/>
        <v>D</v>
      </c>
      <c r="M102" s="7" t="s">
        <v>6</v>
      </c>
      <c r="N102" s="7" t="str">
        <f t="shared" si="186"/>
        <v>AB</v>
      </c>
      <c r="O102" s="7" t="s">
        <v>6</v>
      </c>
      <c r="P102" s="7" t="str">
        <f t="shared" si="186"/>
        <v>AB</v>
      </c>
      <c r="Q102" s="7">
        <v>42</v>
      </c>
      <c r="R102" s="7" t="str">
        <f t="shared" si="182"/>
        <v>S</v>
      </c>
      <c r="S102" s="7">
        <v>44</v>
      </c>
      <c r="T102" s="7" t="str">
        <f t="shared" si="183"/>
        <v>S</v>
      </c>
      <c r="U102" s="7">
        <v>39</v>
      </c>
      <c r="V102" s="7" t="str">
        <f t="shared" si="184"/>
        <v>S</v>
      </c>
      <c r="W102" s="7">
        <v>56</v>
      </c>
      <c r="X102" s="7" t="str">
        <f t="shared" si="185"/>
        <v>C</v>
      </c>
      <c r="Y102" s="7">
        <v>40</v>
      </c>
      <c r="Z102" s="7" t="str">
        <f t="shared" si="180"/>
        <v>S</v>
      </c>
      <c r="AA102" s="7">
        <f t="shared" si="172"/>
        <v>422</v>
      </c>
      <c r="AB102" s="7" t="str">
        <f t="shared" si="173"/>
        <v>42%</v>
      </c>
      <c r="AC102" s="14" t="str">
        <f t="shared" si="181"/>
        <v>Not Completed</v>
      </c>
      <c r="AD102" s="7"/>
      <c r="AE102" s="7">
        <f t="shared" si="157"/>
        <v>4</v>
      </c>
      <c r="AF102" s="7">
        <f t="shared" si="158"/>
        <v>0</v>
      </c>
      <c r="AG102" s="7">
        <f t="shared" si="159"/>
        <v>2</v>
      </c>
      <c r="AH102" s="12"/>
      <c r="AI102" s="14" t="str">
        <f>IF(AG102&gt;0, "Not Completed",
   IF(AC102=10, "First Class",
      IF(AB102&gt;75, IF(AE102&gt;0, "Ordinary Pass", "First Class"),
         IF(AB102&gt;65, IF(AE102&gt;0, "Ordinary Pass", "Second Class"),
            IF(AB102&lt;65, "Ordinary Pass", "")
         )
      )
   )
)</f>
        <v>Not Completed</v>
      </c>
      <c r="AJ102" s="7"/>
      <c r="AK102" s="32" t="str">
        <f t="shared" si="160"/>
        <v>Not Completed</v>
      </c>
    </row>
    <row r="103" spans="2:37" ht="27" customHeight="1">
      <c r="B103" s="28">
        <v>96</v>
      </c>
      <c r="C103" s="29" t="s">
        <v>431</v>
      </c>
      <c r="D103" s="30" t="s">
        <v>250</v>
      </c>
      <c r="E103" s="4" t="s">
        <v>229</v>
      </c>
      <c r="F103" s="34" t="s">
        <v>477</v>
      </c>
      <c r="G103" s="7">
        <v>76</v>
      </c>
      <c r="H103" s="7" t="str">
        <f t="shared" si="174"/>
        <v>D</v>
      </c>
      <c r="I103" s="7">
        <v>92</v>
      </c>
      <c r="J103" s="7" t="str">
        <f t="shared" si="175"/>
        <v>D</v>
      </c>
      <c r="K103" s="7">
        <v>93</v>
      </c>
      <c r="L103" s="7" t="str">
        <f t="shared" si="176"/>
        <v>D</v>
      </c>
      <c r="M103" s="7">
        <v>88</v>
      </c>
      <c r="N103" s="7" t="str">
        <f t="shared" si="177"/>
        <v>D</v>
      </c>
      <c r="O103" s="7">
        <v>71</v>
      </c>
      <c r="P103" s="7" t="str">
        <f t="shared" si="178"/>
        <v>C</v>
      </c>
      <c r="Q103" s="7">
        <v>93</v>
      </c>
      <c r="R103" s="7" t="str">
        <f t="shared" si="182"/>
        <v>D</v>
      </c>
      <c r="S103" s="7">
        <v>86</v>
      </c>
      <c r="T103" s="7" t="str">
        <f t="shared" si="183"/>
        <v>D</v>
      </c>
      <c r="U103" s="7">
        <v>74</v>
      </c>
      <c r="V103" s="7" t="str">
        <f t="shared" si="184"/>
        <v>C</v>
      </c>
      <c r="W103" s="7">
        <v>79</v>
      </c>
      <c r="X103" s="7" t="str">
        <f t="shared" si="185"/>
        <v>D</v>
      </c>
      <c r="Y103" s="7">
        <v>32</v>
      </c>
      <c r="Z103" s="7" t="str">
        <f t="shared" si="180"/>
        <v>F</v>
      </c>
      <c r="AA103" s="7">
        <f t="shared" si="172"/>
        <v>784</v>
      </c>
      <c r="AB103" s="7" t="str">
        <f t="shared" si="173"/>
        <v>78%</v>
      </c>
      <c r="AC103" s="14" t="s">
        <v>15</v>
      </c>
      <c r="AD103" s="7">
        <v>10</v>
      </c>
      <c r="AE103" s="7">
        <f t="shared" si="157"/>
        <v>0</v>
      </c>
      <c r="AF103" s="7">
        <f t="shared" si="158"/>
        <v>1</v>
      </c>
      <c r="AG103" s="7">
        <f t="shared" si="159"/>
        <v>0</v>
      </c>
      <c r="AH103" s="12"/>
      <c r="AI103" s="14" t="s">
        <v>15</v>
      </c>
      <c r="AJ103" s="7">
        <v>10</v>
      </c>
      <c r="AK103" s="32" t="str">
        <f t="shared" si="160"/>
        <v>Not Completed</v>
      </c>
    </row>
    <row r="104" spans="2:37" ht="27" customHeight="1">
      <c r="B104" s="28">
        <v>97</v>
      </c>
      <c r="C104" s="29" t="s">
        <v>251</v>
      </c>
      <c r="D104" s="30" t="s">
        <v>252</v>
      </c>
      <c r="E104" s="4" t="s">
        <v>230</v>
      </c>
      <c r="F104" s="34" t="s">
        <v>477</v>
      </c>
      <c r="G104" s="7">
        <v>54</v>
      </c>
      <c r="H104" s="7" t="str">
        <f t="shared" si="174"/>
        <v>S</v>
      </c>
      <c r="I104" s="7">
        <v>92</v>
      </c>
      <c r="J104" s="7" t="str">
        <f t="shared" si="175"/>
        <v>D</v>
      </c>
      <c r="K104" s="7">
        <v>91</v>
      </c>
      <c r="L104" s="7" t="str">
        <f t="shared" si="176"/>
        <v>D</v>
      </c>
      <c r="M104" s="7">
        <v>71</v>
      </c>
      <c r="N104" s="7" t="str">
        <f t="shared" si="177"/>
        <v>C</v>
      </c>
      <c r="O104" s="7">
        <v>62</v>
      </c>
      <c r="P104" s="7" t="str">
        <f t="shared" si="178"/>
        <v>C</v>
      </c>
      <c r="Q104" s="7">
        <v>83</v>
      </c>
      <c r="R104" s="7" t="str">
        <f t="shared" si="182"/>
        <v>D</v>
      </c>
      <c r="S104" s="7">
        <v>87</v>
      </c>
      <c r="T104" s="7" t="str">
        <f t="shared" si="183"/>
        <v>D</v>
      </c>
      <c r="U104" s="7">
        <v>42</v>
      </c>
      <c r="V104" s="7" t="str">
        <f t="shared" si="184"/>
        <v>S</v>
      </c>
      <c r="W104" s="7">
        <v>53</v>
      </c>
      <c r="X104" s="7" t="str">
        <f t="shared" si="185"/>
        <v>S</v>
      </c>
      <c r="Y104" s="7">
        <v>13</v>
      </c>
      <c r="Z104" s="7" t="str">
        <f t="shared" si="180"/>
        <v>F</v>
      </c>
      <c r="AA104" s="7">
        <f t="shared" si="172"/>
        <v>648</v>
      </c>
      <c r="AB104" s="7" t="str">
        <f t="shared" si="173"/>
        <v>65%</v>
      </c>
      <c r="AC104" s="14" t="s">
        <v>15</v>
      </c>
      <c r="AD104" s="7">
        <v>10</v>
      </c>
      <c r="AE104" s="7">
        <f t="shared" si="157"/>
        <v>2</v>
      </c>
      <c r="AF104" s="7">
        <f t="shared" si="158"/>
        <v>1</v>
      </c>
      <c r="AG104" s="7">
        <f t="shared" si="159"/>
        <v>0</v>
      </c>
      <c r="AH104" s="12"/>
      <c r="AI104" s="14" t="s">
        <v>15</v>
      </c>
      <c r="AJ104" s="7">
        <v>10</v>
      </c>
      <c r="AK104" s="32" t="str">
        <f t="shared" si="160"/>
        <v>Not Completed</v>
      </c>
    </row>
    <row r="105" spans="2:37" ht="27" customHeight="1">
      <c r="B105" s="28">
        <v>98</v>
      </c>
      <c r="C105" s="29" t="s">
        <v>253</v>
      </c>
      <c r="D105" s="30" t="s">
        <v>254</v>
      </c>
      <c r="E105" s="4" t="s">
        <v>231</v>
      </c>
      <c r="F105" s="34" t="s">
        <v>477</v>
      </c>
      <c r="G105" s="7">
        <v>53</v>
      </c>
      <c r="H105" s="7" t="str">
        <f t="shared" si="174"/>
        <v>S</v>
      </c>
      <c r="I105" s="7">
        <v>86</v>
      </c>
      <c r="J105" s="7" t="str">
        <f t="shared" si="175"/>
        <v>D</v>
      </c>
      <c r="K105" s="7">
        <v>90</v>
      </c>
      <c r="L105" s="7" t="str">
        <f t="shared" si="176"/>
        <v>D</v>
      </c>
      <c r="M105" s="7">
        <v>78</v>
      </c>
      <c r="N105" s="7" t="str">
        <f t="shared" si="177"/>
        <v>D</v>
      </c>
      <c r="O105" s="7">
        <v>73</v>
      </c>
      <c r="P105" s="7" t="str">
        <f t="shared" si="178"/>
        <v>C</v>
      </c>
      <c r="Q105" s="7">
        <v>61</v>
      </c>
      <c r="R105" s="7" t="str">
        <f t="shared" si="182"/>
        <v>C</v>
      </c>
      <c r="S105" s="7">
        <v>74</v>
      </c>
      <c r="T105" s="7" t="str">
        <f t="shared" si="183"/>
        <v>C</v>
      </c>
      <c r="U105" s="7">
        <v>70</v>
      </c>
      <c r="V105" s="7" t="str">
        <f t="shared" si="184"/>
        <v>C</v>
      </c>
      <c r="W105" s="7">
        <v>77</v>
      </c>
      <c r="X105" s="7" t="str">
        <f t="shared" si="185"/>
        <v>D</v>
      </c>
      <c r="Y105" s="7">
        <v>21</v>
      </c>
      <c r="Z105" s="7" t="str">
        <f t="shared" si="180"/>
        <v>F</v>
      </c>
      <c r="AA105" s="7">
        <f t="shared" si="172"/>
        <v>683</v>
      </c>
      <c r="AB105" s="7" t="str">
        <f t="shared" si="173"/>
        <v>68%</v>
      </c>
      <c r="AC105" s="14" t="s">
        <v>15</v>
      </c>
      <c r="AD105" s="7">
        <v>10</v>
      </c>
      <c r="AE105" s="7">
        <f t="shared" si="157"/>
        <v>0</v>
      </c>
      <c r="AF105" s="7">
        <f t="shared" si="158"/>
        <v>1</v>
      </c>
      <c r="AG105" s="7">
        <f t="shared" si="159"/>
        <v>0</v>
      </c>
      <c r="AH105" s="12"/>
      <c r="AI105" s="14" t="s">
        <v>15</v>
      </c>
      <c r="AJ105" s="7">
        <v>10</v>
      </c>
      <c r="AK105" s="32" t="str">
        <f t="shared" si="160"/>
        <v>Not Completed</v>
      </c>
    </row>
    <row r="106" spans="2:37" ht="27" customHeight="1">
      <c r="B106" s="28">
        <v>99</v>
      </c>
      <c r="C106" s="29" t="s">
        <v>255</v>
      </c>
      <c r="D106" s="30" t="s">
        <v>256</v>
      </c>
      <c r="E106" s="4" t="s">
        <v>232</v>
      </c>
      <c r="F106" s="34" t="s">
        <v>477</v>
      </c>
      <c r="G106" s="7">
        <v>35</v>
      </c>
      <c r="H106" s="7" t="str">
        <f t="shared" si="174"/>
        <v>S</v>
      </c>
      <c r="I106" s="7">
        <v>53</v>
      </c>
      <c r="J106" s="7" t="str">
        <f t="shared" si="175"/>
        <v>S</v>
      </c>
      <c r="K106" s="7">
        <v>78</v>
      </c>
      <c r="L106" s="7" t="str">
        <f t="shared" si="176"/>
        <v>D</v>
      </c>
      <c r="M106" s="7">
        <v>52</v>
      </c>
      <c r="N106" s="7" t="str">
        <f t="shared" si="177"/>
        <v>S</v>
      </c>
      <c r="O106" s="7">
        <v>47</v>
      </c>
      <c r="P106" s="7" t="str">
        <f t="shared" si="178"/>
        <v>S</v>
      </c>
      <c r="Q106" s="7">
        <v>80</v>
      </c>
      <c r="R106" s="7" t="str">
        <f t="shared" si="182"/>
        <v>D</v>
      </c>
      <c r="S106" s="7">
        <v>66</v>
      </c>
      <c r="T106" s="7" t="str">
        <f t="shared" si="183"/>
        <v>C</v>
      </c>
      <c r="U106" s="7">
        <v>50</v>
      </c>
      <c r="V106" s="7" t="str">
        <f t="shared" si="184"/>
        <v>S</v>
      </c>
      <c r="W106" s="7">
        <v>67</v>
      </c>
      <c r="X106" s="7" t="str">
        <f t="shared" si="185"/>
        <v>C</v>
      </c>
      <c r="Y106" s="7">
        <v>56</v>
      </c>
      <c r="Z106" s="7" t="str">
        <f t="shared" si="180"/>
        <v>C</v>
      </c>
      <c r="AA106" s="7">
        <f t="shared" si="172"/>
        <v>584</v>
      </c>
      <c r="AB106" s="7" t="str">
        <f t="shared" si="173"/>
        <v>58%</v>
      </c>
      <c r="AC106" s="14" t="s">
        <v>454</v>
      </c>
      <c r="AD106" s="7"/>
      <c r="AE106" s="7">
        <f t="shared" si="157"/>
        <v>4</v>
      </c>
      <c r="AF106" s="7">
        <f t="shared" si="158"/>
        <v>0</v>
      </c>
      <c r="AG106" s="7">
        <f t="shared" si="159"/>
        <v>0</v>
      </c>
      <c r="AH106" s="12"/>
      <c r="AI106" s="14" t="str">
        <f>IF(AG106&gt;0, "Not Completed",
   IF(AC106=10, "First Class",
      IF(AB106&gt;75, IF(AE106&gt;0, "Ordinary Pass", "First Class"),
         IF(AB106&gt;65, IF(AE106&gt;0, "Ordinary Pass", "Second Class"),
            IF(AB106&lt;65, "Ordinary Pass", "")
         )
      )
   )
)</f>
        <v>Ordinary Pass</v>
      </c>
      <c r="AJ106" s="7"/>
      <c r="AK106" s="32" t="str">
        <f t="shared" si="160"/>
        <v>Not Completed</v>
      </c>
    </row>
    <row r="107" spans="2:37" ht="27" customHeight="1">
      <c r="B107" s="28">
        <v>100</v>
      </c>
      <c r="C107" s="29" t="s">
        <v>257</v>
      </c>
      <c r="D107" s="30">
        <v>200185401993</v>
      </c>
      <c r="E107" s="4" t="s">
        <v>233</v>
      </c>
      <c r="F107" s="34" t="s">
        <v>477</v>
      </c>
      <c r="G107" s="7">
        <v>50</v>
      </c>
      <c r="H107" s="7" t="str">
        <f t="shared" si="174"/>
        <v>S</v>
      </c>
      <c r="I107" s="7">
        <v>62</v>
      </c>
      <c r="J107" s="7" t="str">
        <f t="shared" si="175"/>
        <v>C</v>
      </c>
      <c r="K107" s="7">
        <v>78</v>
      </c>
      <c r="L107" s="7" t="str">
        <f t="shared" si="176"/>
        <v>D</v>
      </c>
      <c r="M107" s="7">
        <v>59</v>
      </c>
      <c r="N107" s="7" t="str">
        <f t="shared" si="177"/>
        <v>C</v>
      </c>
      <c r="O107" s="7">
        <v>55</v>
      </c>
      <c r="P107" s="7" t="str">
        <f t="shared" si="178"/>
        <v>C</v>
      </c>
      <c r="Q107" s="7">
        <v>68</v>
      </c>
      <c r="R107" s="7" t="str">
        <f t="shared" si="182"/>
        <v>C</v>
      </c>
      <c r="S107" s="7">
        <v>70</v>
      </c>
      <c r="T107" s="7" t="str">
        <f t="shared" si="183"/>
        <v>C</v>
      </c>
      <c r="U107" s="7">
        <v>30</v>
      </c>
      <c r="V107" s="7" t="str">
        <f t="shared" si="184"/>
        <v>F</v>
      </c>
      <c r="W107" s="7">
        <v>72</v>
      </c>
      <c r="X107" s="7" t="str">
        <f t="shared" si="185"/>
        <v>C</v>
      </c>
      <c r="Y107" s="7">
        <v>19</v>
      </c>
      <c r="Z107" s="7" t="str">
        <f t="shared" si="180"/>
        <v>F</v>
      </c>
      <c r="AA107" s="7">
        <f t="shared" si="172"/>
        <v>563</v>
      </c>
      <c r="AB107" s="7" t="str">
        <f t="shared" si="173"/>
        <v>56%</v>
      </c>
      <c r="AC107" s="14" t="s">
        <v>15</v>
      </c>
      <c r="AD107" s="7" t="s">
        <v>463</v>
      </c>
      <c r="AE107" s="7">
        <f t="shared" si="157"/>
        <v>0</v>
      </c>
      <c r="AF107" s="7">
        <f t="shared" si="158"/>
        <v>2</v>
      </c>
      <c r="AG107" s="7">
        <f t="shared" si="159"/>
        <v>0</v>
      </c>
      <c r="AH107" s="12"/>
      <c r="AI107" s="14" t="s">
        <v>15</v>
      </c>
      <c r="AJ107" s="7" t="s">
        <v>463</v>
      </c>
      <c r="AK107" s="32" t="str">
        <f t="shared" si="160"/>
        <v>Not Completed</v>
      </c>
    </row>
    <row r="108" spans="2:37" ht="27" customHeight="1">
      <c r="B108" s="28">
        <v>101</v>
      </c>
      <c r="C108" s="29" t="s">
        <v>258</v>
      </c>
      <c r="D108" s="30" t="s">
        <v>259</v>
      </c>
      <c r="E108" s="4" t="s">
        <v>234</v>
      </c>
      <c r="F108" s="34" t="s">
        <v>477</v>
      </c>
      <c r="G108" s="7">
        <v>37</v>
      </c>
      <c r="H108" s="7" t="str">
        <f t="shared" si="174"/>
        <v>S</v>
      </c>
      <c r="I108" s="7">
        <v>85</v>
      </c>
      <c r="J108" s="7" t="str">
        <f t="shared" si="175"/>
        <v>D</v>
      </c>
      <c r="K108" s="7">
        <v>62</v>
      </c>
      <c r="L108" s="7" t="str">
        <f t="shared" si="176"/>
        <v>C</v>
      </c>
      <c r="M108" s="7">
        <v>63</v>
      </c>
      <c r="N108" s="7" t="str">
        <f t="shared" si="177"/>
        <v>C</v>
      </c>
      <c r="O108" s="7">
        <v>46</v>
      </c>
      <c r="P108" s="7" t="str">
        <f t="shared" si="178"/>
        <v>S</v>
      </c>
      <c r="Q108" s="7" t="s">
        <v>6</v>
      </c>
      <c r="R108" s="7" t="str">
        <f t="shared" ref="R108:X108" si="187">IF(Q108="-", "AB", IF(Q108&gt;=75, "D", IF(Q108&gt;=55, "C", IF(Q108&gt;=35, "S", IF(Q108&gt;=0, "F")))))</f>
        <v>AB</v>
      </c>
      <c r="S108" s="7" t="s">
        <v>6</v>
      </c>
      <c r="T108" s="7" t="str">
        <f t="shared" si="187"/>
        <v>AB</v>
      </c>
      <c r="U108" s="7" t="s">
        <v>6</v>
      </c>
      <c r="V108" s="7" t="str">
        <f t="shared" si="187"/>
        <v>AB</v>
      </c>
      <c r="W108" s="7" t="s">
        <v>6</v>
      </c>
      <c r="X108" s="7" t="str">
        <f t="shared" si="187"/>
        <v>AB</v>
      </c>
      <c r="Y108" s="7" t="s">
        <v>6</v>
      </c>
      <c r="Z108" s="7" t="str">
        <f t="shared" si="180"/>
        <v>AB</v>
      </c>
      <c r="AA108" s="7">
        <f t="shared" si="172"/>
        <v>293</v>
      </c>
      <c r="AB108" s="7" t="str">
        <f t="shared" si="173"/>
        <v>29%</v>
      </c>
      <c r="AC108" s="14" t="str">
        <f t="shared" si="181"/>
        <v>Not Completed</v>
      </c>
      <c r="AD108" s="7"/>
      <c r="AE108" s="7">
        <f t="shared" si="157"/>
        <v>1</v>
      </c>
      <c r="AF108" s="7">
        <f t="shared" si="158"/>
        <v>0</v>
      </c>
      <c r="AG108" s="7">
        <f t="shared" si="159"/>
        <v>5</v>
      </c>
      <c r="AH108" s="12"/>
      <c r="AI108" s="14" t="str">
        <f>IF(AG108&gt;0, "Not Completed",
   IF(AC108=10, "First Class",
      IF(AB108&gt;75, IF(AE108&gt;0, "Ordinary Pass", "First Class"),
         IF(AB108&gt;65, IF(AE108&gt;0, "Ordinary Pass", "Second Class"),
            IF(AB108&lt;65, "Ordinary Pass", "")
         )
      )
   )
)</f>
        <v>Not Completed</v>
      </c>
      <c r="AJ108" s="7"/>
      <c r="AK108" s="32" t="str">
        <f t="shared" si="160"/>
        <v>Not Completed</v>
      </c>
    </row>
    <row r="109" spans="2:37" ht="27" customHeight="1">
      <c r="B109" s="28">
        <v>102</v>
      </c>
      <c r="C109" s="29" t="s">
        <v>260</v>
      </c>
      <c r="D109" s="30" t="s">
        <v>261</v>
      </c>
      <c r="E109" s="4" t="s">
        <v>235</v>
      </c>
      <c r="F109" s="34" t="s">
        <v>477</v>
      </c>
      <c r="G109" s="7">
        <v>45</v>
      </c>
      <c r="H109" s="7" t="str">
        <f t="shared" si="174"/>
        <v>S</v>
      </c>
      <c r="I109" s="7">
        <v>53</v>
      </c>
      <c r="J109" s="7" t="str">
        <f t="shared" si="175"/>
        <v>S</v>
      </c>
      <c r="K109" s="7">
        <v>63</v>
      </c>
      <c r="L109" s="7" t="str">
        <f t="shared" si="176"/>
        <v>C</v>
      </c>
      <c r="M109" s="7">
        <v>65</v>
      </c>
      <c r="N109" s="7" t="str">
        <f t="shared" si="177"/>
        <v>C</v>
      </c>
      <c r="O109" s="7">
        <v>51</v>
      </c>
      <c r="P109" s="7" t="str">
        <f t="shared" si="178"/>
        <v>S</v>
      </c>
      <c r="Q109" s="7">
        <v>50</v>
      </c>
      <c r="R109" s="7" t="str">
        <f t="shared" si="182"/>
        <v>S</v>
      </c>
      <c r="S109" s="7">
        <v>52</v>
      </c>
      <c r="T109" s="7" t="str">
        <f t="shared" si="183"/>
        <v>S</v>
      </c>
      <c r="U109" s="7">
        <v>42</v>
      </c>
      <c r="V109" s="7" t="str">
        <f t="shared" si="184"/>
        <v>S</v>
      </c>
      <c r="W109" s="7">
        <v>51</v>
      </c>
      <c r="X109" s="7" t="str">
        <f t="shared" si="185"/>
        <v>S</v>
      </c>
      <c r="Y109" s="7" t="s">
        <v>6</v>
      </c>
      <c r="Z109" s="7" t="str">
        <f t="shared" si="180"/>
        <v>AB</v>
      </c>
      <c r="AA109" s="7">
        <f t="shared" si="172"/>
        <v>472</v>
      </c>
      <c r="AB109" s="7" t="str">
        <f t="shared" si="173"/>
        <v>47%</v>
      </c>
      <c r="AC109" s="14" t="str">
        <f t="shared" si="181"/>
        <v>Not Completed</v>
      </c>
      <c r="AD109" s="7"/>
      <c r="AE109" s="7">
        <f t="shared" si="157"/>
        <v>6</v>
      </c>
      <c r="AF109" s="7">
        <f t="shared" si="158"/>
        <v>0</v>
      </c>
      <c r="AG109" s="7">
        <f t="shared" si="159"/>
        <v>1</v>
      </c>
      <c r="AH109" s="12"/>
      <c r="AI109" s="14" t="str">
        <f>IF(AG109&gt;0, "Not Completed",
   IF(AC109=10, "First Class",
      IF(AB109&gt;75, IF(AE109&gt;0, "Ordinary Pass", "First Class"),
         IF(AB109&gt;65, IF(AE109&gt;0, "Ordinary Pass", "Second Class"),
            IF(AB109&lt;65, "Ordinary Pass", "")
         )
      )
   )
)</f>
        <v>Not Completed</v>
      </c>
      <c r="AJ109" s="7"/>
      <c r="AK109" s="32" t="str">
        <f t="shared" si="160"/>
        <v>Not Completed</v>
      </c>
    </row>
    <row r="110" spans="2:37" ht="27" customHeight="1">
      <c r="B110" s="28">
        <v>103</v>
      </c>
      <c r="C110" s="29" t="s">
        <v>262</v>
      </c>
      <c r="D110" s="30">
        <v>198721201102</v>
      </c>
      <c r="E110" s="4" t="s">
        <v>236</v>
      </c>
      <c r="F110" s="34" t="s">
        <v>477</v>
      </c>
      <c r="G110" s="7">
        <v>43</v>
      </c>
      <c r="H110" s="7" t="str">
        <f>IF(G110="-", "Absent", IF(G110&gt;=75, "D", IF(G110&gt;=55, "C", IF(G110&gt;=35, "S", IF(G110&gt;=0, "F")))))</f>
        <v>S</v>
      </c>
      <c r="I110" s="7">
        <v>57</v>
      </c>
      <c r="J110" s="7" t="str">
        <f>IF(I110="-", "Absent", IF(I110&gt;=75, "D", IF(I110&gt;=55, "C", IF(I110&gt;=35, "S", IF(I110&gt;=0, "F")))))</f>
        <v>C</v>
      </c>
      <c r="K110" s="7">
        <v>81</v>
      </c>
      <c r="L110" s="7" t="str">
        <f>IF(K110="-", "Absent", IF(K110&gt;=75, "D", IF(K110&gt;=55, "C", IF(K110&gt;=35, "S", IF(K110&gt;=0, "F")))))</f>
        <v>D</v>
      </c>
      <c r="M110" s="7">
        <v>54</v>
      </c>
      <c r="N110" s="7" t="str">
        <f>IF(M110="-", "Absent", IF(M110&gt;=75, "D", IF(M110&gt;=55, "C", IF(M110&gt;=35, "S", IF(M110&gt;=0, "F")))))</f>
        <v>S</v>
      </c>
      <c r="O110" s="7">
        <v>47</v>
      </c>
      <c r="P110" s="7" t="str">
        <f>IF(O110="-", "Absent", IF(O110&gt;=75, "D", IF(O110&gt;=55, "C", IF(O110&gt;=35, "S", IF(O110&gt;=0, "F")))))</f>
        <v>S</v>
      </c>
      <c r="Q110" s="7">
        <v>42</v>
      </c>
      <c r="R110" s="7" t="str">
        <f>IF(Q110="-", "Absent", IF(Q110&gt;=75, "D", IF(Q110&gt;=55, "C", IF(Q110&gt;=35, "S", IF(Q110&gt;=0, "F")))))</f>
        <v>S</v>
      </c>
      <c r="S110" s="7">
        <v>36</v>
      </c>
      <c r="T110" s="7" t="str">
        <f>IF(S110="-", "Absent", IF(S110&gt;=75, "D", IF(S110&gt;=55, "C", IF(S110&gt;=35, "S", IF(S110&gt;=0, "F")))))</f>
        <v>S</v>
      </c>
      <c r="U110" s="7">
        <v>47</v>
      </c>
      <c r="V110" s="7" t="str">
        <f>IF(U110="-", "Absent", IF(U110&gt;=75, "D", IF(U110&gt;=55, "C", IF(U110&gt;=35, "S", IF(U110&gt;=0, "F")))))</f>
        <v>S</v>
      </c>
      <c r="W110" s="7">
        <v>58</v>
      </c>
      <c r="X110" s="7" t="str">
        <f>IF(W110="-", "Absent", IF(W110&gt;=75, "D", IF(W110&gt;=55, "C", IF(W110&gt;=35, "S", IF(W110&gt;=0, "F")))))</f>
        <v>C</v>
      </c>
      <c r="Y110" s="7" t="s">
        <v>6</v>
      </c>
      <c r="Z110" s="7" t="str">
        <f>IF(Y110="-", "AB", IF(Y110&gt;=75, "D", IF(Y110&gt;=55, "C", IF(Y110&gt;=35, "S", IF(Y110&gt;=0, "F")))))</f>
        <v>AB</v>
      </c>
      <c r="AA110" s="7">
        <f>SUMIF(G110:Z110, "&lt;&gt;AB")</f>
        <v>465</v>
      </c>
      <c r="AB110" s="7" t="str">
        <f>ROUND(AA110/10, 0)&amp;"%"</f>
        <v>47%</v>
      </c>
      <c r="AC110" s="14" t="str">
        <f>IF(AA110&gt;0, "Not Completed",
   IF(W110=10, "First Class",
      IF(V110&gt;75, IF(Y110&gt;0, "Ordinary Pass", "First Class"),
         IF(V110&gt;65, IF(Y110&gt;0, "Ordinary Pass", "Second Class"),
            IF(V110&lt;65, "Ordinary Pass", "")
         )
      )
   )
)</f>
        <v>Not Completed</v>
      </c>
      <c r="AD110" s="7"/>
      <c r="AE110" s="7">
        <f t="shared" si="157"/>
        <v>5</v>
      </c>
      <c r="AF110" s="7">
        <f t="shared" si="158"/>
        <v>0</v>
      </c>
      <c r="AG110" s="7">
        <f t="shared" si="159"/>
        <v>1</v>
      </c>
      <c r="AH110" s="12"/>
      <c r="AI110" s="14" t="str">
        <f>IF(AG110&gt;0, "Not Completed",
   IF(AC110=10, "First Class",
      IF(AB110&gt;75, IF(AE110&gt;0, "Ordinary Pass", "First Class"),
         IF(AB110&gt;65, IF(AE110&gt;0, "Ordinary Pass", "Second Class"),
            IF(AB110&lt;65, "Ordinary Pass", "")
         )
      )
   )
)</f>
        <v>Not Completed</v>
      </c>
      <c r="AJ110" s="7"/>
      <c r="AK110" s="32" t="str">
        <f t="shared" si="160"/>
        <v>Not Completed</v>
      </c>
    </row>
    <row r="111" spans="2:37" ht="27" customHeight="1">
      <c r="B111" s="28">
        <v>104</v>
      </c>
      <c r="C111" s="29" t="s">
        <v>263</v>
      </c>
      <c r="D111" s="30" t="s">
        <v>264</v>
      </c>
      <c r="E111" s="4" t="s">
        <v>237</v>
      </c>
      <c r="F111" s="30" t="s">
        <v>477</v>
      </c>
      <c r="G111" s="7" t="s">
        <v>6</v>
      </c>
      <c r="H111" s="7" t="str">
        <f t="shared" ref="H111:X111" si="188">IF(G111="-", "AB", IF(G111&gt;=75, "D", IF(G111&gt;=55, "C", IF(G111&gt;=35, "S", IF(G111&gt;=0, "F")))))</f>
        <v>AB</v>
      </c>
      <c r="I111" s="7" t="s">
        <v>6</v>
      </c>
      <c r="J111" s="7" t="str">
        <f t="shared" si="188"/>
        <v>AB</v>
      </c>
      <c r="K111" s="7" t="s">
        <v>6</v>
      </c>
      <c r="L111" s="7" t="str">
        <f t="shared" si="188"/>
        <v>AB</v>
      </c>
      <c r="M111" s="7" t="s">
        <v>6</v>
      </c>
      <c r="N111" s="7" t="str">
        <f t="shared" si="188"/>
        <v>AB</v>
      </c>
      <c r="O111" s="7" t="s">
        <v>6</v>
      </c>
      <c r="P111" s="7" t="str">
        <f t="shared" si="188"/>
        <v>AB</v>
      </c>
      <c r="Q111" s="7" t="s">
        <v>6</v>
      </c>
      <c r="R111" s="7" t="str">
        <f t="shared" si="188"/>
        <v>AB</v>
      </c>
      <c r="S111" s="7" t="s">
        <v>6</v>
      </c>
      <c r="T111" s="7" t="str">
        <f t="shared" si="188"/>
        <v>AB</v>
      </c>
      <c r="U111" s="7" t="s">
        <v>6</v>
      </c>
      <c r="V111" s="7" t="str">
        <f t="shared" si="188"/>
        <v>AB</v>
      </c>
      <c r="W111" s="7" t="s">
        <v>6</v>
      </c>
      <c r="X111" s="7" t="str">
        <f t="shared" si="188"/>
        <v>AB</v>
      </c>
      <c r="Y111" s="7" t="s">
        <v>6</v>
      </c>
      <c r="Z111" s="7" t="str">
        <f t="shared" ref="Z111:Z114" si="189">IF(Y111="-", "AB", IF(Y111&gt;=75, "D", IF(Y111&gt;=55, "C", IF(Y111&gt;=35, "S", IF(Y111&gt;=0, "F")))))</f>
        <v>AB</v>
      </c>
      <c r="AA111" s="7">
        <f t="shared" ref="AA111:AA126" si="190">SUMIF(G111:Z111, "&lt;&gt;AB")</f>
        <v>0</v>
      </c>
      <c r="AB111" s="7" t="str">
        <f t="shared" ref="AB111:AB126" si="191">ROUND(AA111/10, 0)&amp;"%"</f>
        <v>0%</v>
      </c>
      <c r="AC111" s="14" t="s">
        <v>403</v>
      </c>
      <c r="AD111" s="7"/>
      <c r="AE111" s="7">
        <f t="shared" si="157"/>
        <v>0</v>
      </c>
      <c r="AF111" s="7">
        <f t="shared" si="158"/>
        <v>0</v>
      </c>
      <c r="AG111" s="7">
        <f t="shared" si="159"/>
        <v>10</v>
      </c>
      <c r="AH111" s="12"/>
      <c r="AI111" s="14" t="s">
        <v>403</v>
      </c>
      <c r="AJ111" s="7"/>
      <c r="AK111" s="32" t="str">
        <f t="shared" si="160"/>
        <v>Not Completed</v>
      </c>
    </row>
    <row r="112" spans="2:37" ht="27" customHeight="1">
      <c r="B112" s="28">
        <v>105</v>
      </c>
      <c r="C112" s="29" t="s">
        <v>265</v>
      </c>
      <c r="D112" s="30" t="s">
        <v>266</v>
      </c>
      <c r="E112" s="4" t="s">
        <v>238</v>
      </c>
      <c r="F112" s="30" t="s">
        <v>477</v>
      </c>
      <c r="G112" s="7">
        <v>50</v>
      </c>
      <c r="H112" s="7" t="str">
        <f t="shared" ref="H112:H114" si="192">IF(G112="-", "Absent", IF(G112&gt;=75, "D", IF(G112&gt;=55, "C", IF(G112&gt;=35, "S", IF(G112&gt;=0, "F")))))</f>
        <v>S</v>
      </c>
      <c r="I112" s="7">
        <v>74</v>
      </c>
      <c r="J112" s="7" t="str">
        <f t="shared" ref="J112:J114" si="193">IF(I112="-", "Absent", IF(I112&gt;=75, "D", IF(I112&gt;=55, "C", IF(I112&gt;=35, "S", IF(I112&gt;=0, "F")))))</f>
        <v>C</v>
      </c>
      <c r="K112" s="7">
        <v>65</v>
      </c>
      <c r="L112" s="7" t="str">
        <f t="shared" ref="L112:L114" si="194">IF(K112="-", "Absent", IF(K112&gt;=75, "D", IF(K112&gt;=55, "C", IF(K112&gt;=35, "S", IF(K112&gt;=0, "F")))))</f>
        <v>C</v>
      </c>
      <c r="M112" s="7">
        <v>56</v>
      </c>
      <c r="N112" s="7" t="str">
        <f t="shared" ref="N112:N114" si="195">IF(M112="-", "Absent", IF(M112&gt;=75, "D", IF(M112&gt;=55, "C", IF(M112&gt;=35, "S", IF(M112&gt;=0, "F")))))</f>
        <v>C</v>
      </c>
      <c r="O112" s="7">
        <v>51</v>
      </c>
      <c r="P112" s="7" t="str">
        <f t="shared" ref="P112:P114" si="196">IF(O112="-", "Absent", IF(O112&gt;=75, "D", IF(O112&gt;=55, "C", IF(O112&gt;=35, "S", IF(O112&gt;=0, "F")))))</f>
        <v>S</v>
      </c>
      <c r="Q112" s="7">
        <v>80</v>
      </c>
      <c r="R112" s="7" t="str">
        <f t="shared" ref="R112:R114" si="197">IF(Q112="-", "Absent", IF(Q112&gt;=75, "D", IF(Q112&gt;=55, "C", IF(Q112&gt;=35, "S", IF(Q112&gt;=0, "F")))))</f>
        <v>D</v>
      </c>
      <c r="S112" s="7">
        <v>79</v>
      </c>
      <c r="T112" s="7" t="str">
        <f t="shared" ref="T112:T113" si="198">IF(S112="-", "Absent", IF(S112&gt;=75, "D", IF(S112&gt;=55, "C", IF(S112&gt;=35, "S", IF(S112&gt;=0, "F")))))</f>
        <v>D</v>
      </c>
      <c r="U112" s="7">
        <v>48</v>
      </c>
      <c r="V112" s="7" t="str">
        <f t="shared" ref="V112:V113" si="199">IF(U112="-", "Absent", IF(U112&gt;=75, "D", IF(U112&gt;=55, "C", IF(U112&gt;=35, "S", IF(U112&gt;=0, "F")))))</f>
        <v>S</v>
      </c>
      <c r="W112" s="7">
        <v>61</v>
      </c>
      <c r="X112" s="7" t="str">
        <f t="shared" ref="X112:X113" si="200">IF(W112="-", "Absent", IF(W112&gt;=75, "D", IF(W112&gt;=55, "C", IF(W112&gt;=35, "S", IF(W112&gt;=0, "F")))))</f>
        <v>C</v>
      </c>
      <c r="Y112" s="7">
        <v>46</v>
      </c>
      <c r="Z112" s="7" t="str">
        <f t="shared" si="189"/>
        <v>S</v>
      </c>
      <c r="AA112" s="7">
        <f t="shared" si="190"/>
        <v>610</v>
      </c>
      <c r="AB112" s="7" t="str">
        <f t="shared" si="191"/>
        <v>61%</v>
      </c>
      <c r="AC112" s="14" t="s">
        <v>454</v>
      </c>
      <c r="AD112" s="7"/>
      <c r="AE112" s="7">
        <f t="shared" si="157"/>
        <v>3</v>
      </c>
      <c r="AF112" s="7">
        <f t="shared" si="158"/>
        <v>0</v>
      </c>
      <c r="AG112" s="7">
        <f t="shared" si="159"/>
        <v>0</v>
      </c>
      <c r="AH112" s="12"/>
      <c r="AI112" s="14" t="str">
        <f t="shared" ref="AI112:AI118" si="201">IF(AG112&gt;0, "Not Completed",
   IF(AC112=10, "First Class",
      IF(AB112&gt;75, IF(AE112&gt;0, "Ordinary Pass", "First Class"),
         IF(AB112&gt;65, IF(AE112&gt;0, "Ordinary Pass", "Second Class"),
            IF(AB112&lt;65, "Ordinary Pass", "")
         )
      )
   )
)</f>
        <v>Ordinary Pass</v>
      </c>
      <c r="AJ112" s="7"/>
      <c r="AK112" s="32" t="str">
        <f t="shared" si="160"/>
        <v>Not Completed</v>
      </c>
    </row>
    <row r="113" spans="2:37" ht="27" customHeight="1">
      <c r="B113" s="28">
        <v>106</v>
      </c>
      <c r="C113" s="29" t="s">
        <v>267</v>
      </c>
      <c r="D113" s="30" t="s">
        <v>268</v>
      </c>
      <c r="E113" s="4" t="s">
        <v>239</v>
      </c>
      <c r="F113" s="30" t="s">
        <v>477</v>
      </c>
      <c r="G113" s="7">
        <v>46</v>
      </c>
      <c r="H113" s="7" t="str">
        <f t="shared" si="192"/>
        <v>S</v>
      </c>
      <c r="I113" s="7">
        <v>63</v>
      </c>
      <c r="J113" s="7" t="str">
        <f t="shared" si="193"/>
        <v>C</v>
      </c>
      <c r="K113" s="7">
        <v>51</v>
      </c>
      <c r="L113" s="7" t="str">
        <f t="shared" si="194"/>
        <v>S</v>
      </c>
      <c r="M113" s="7">
        <v>56</v>
      </c>
      <c r="N113" s="7" t="str">
        <f t="shared" si="195"/>
        <v>C</v>
      </c>
      <c r="O113" s="7">
        <v>62</v>
      </c>
      <c r="P113" s="7" t="str">
        <f t="shared" si="196"/>
        <v>C</v>
      </c>
      <c r="Q113" s="7">
        <v>45</v>
      </c>
      <c r="R113" s="7" t="str">
        <f t="shared" si="197"/>
        <v>S</v>
      </c>
      <c r="S113" s="7">
        <v>54</v>
      </c>
      <c r="T113" s="7" t="str">
        <f t="shared" si="198"/>
        <v>S</v>
      </c>
      <c r="U113" s="7">
        <v>50</v>
      </c>
      <c r="V113" s="7" t="str">
        <f t="shared" si="199"/>
        <v>S</v>
      </c>
      <c r="W113" s="7">
        <v>67</v>
      </c>
      <c r="X113" s="7" t="str">
        <f t="shared" si="200"/>
        <v>C</v>
      </c>
      <c r="Y113" s="7">
        <v>41</v>
      </c>
      <c r="Z113" s="7" t="str">
        <f t="shared" si="189"/>
        <v>S</v>
      </c>
      <c r="AA113" s="7">
        <f t="shared" si="190"/>
        <v>535</v>
      </c>
      <c r="AB113" s="7" t="str">
        <f t="shared" si="191"/>
        <v>54%</v>
      </c>
      <c r="AC113" s="14" t="s">
        <v>454</v>
      </c>
      <c r="AD113" s="7"/>
      <c r="AE113" s="7">
        <f t="shared" si="157"/>
        <v>5</v>
      </c>
      <c r="AF113" s="7">
        <f t="shared" si="158"/>
        <v>0</v>
      </c>
      <c r="AG113" s="7">
        <f t="shared" si="159"/>
        <v>0</v>
      </c>
      <c r="AH113" s="12"/>
      <c r="AI113" s="14" t="str">
        <f t="shared" si="201"/>
        <v>Ordinary Pass</v>
      </c>
      <c r="AJ113" s="7"/>
      <c r="AK113" s="32" t="str">
        <f t="shared" si="160"/>
        <v>Not Completed</v>
      </c>
    </row>
    <row r="114" spans="2:37" ht="27" customHeight="1">
      <c r="B114" s="28">
        <v>107</v>
      </c>
      <c r="C114" s="29" t="s">
        <v>269</v>
      </c>
      <c r="D114" s="30">
        <v>198125800892</v>
      </c>
      <c r="E114" s="4" t="s">
        <v>240</v>
      </c>
      <c r="F114" s="30" t="s">
        <v>477</v>
      </c>
      <c r="G114" s="7">
        <v>50</v>
      </c>
      <c r="H114" s="7" t="str">
        <f t="shared" si="192"/>
        <v>S</v>
      </c>
      <c r="I114" s="7">
        <v>70</v>
      </c>
      <c r="J114" s="7" t="str">
        <f t="shared" si="193"/>
        <v>C</v>
      </c>
      <c r="K114" s="7">
        <v>78</v>
      </c>
      <c r="L114" s="7" t="str">
        <f t="shared" si="194"/>
        <v>D</v>
      </c>
      <c r="M114" s="7">
        <v>62</v>
      </c>
      <c r="N114" s="7" t="str">
        <f t="shared" si="195"/>
        <v>C</v>
      </c>
      <c r="O114" s="7">
        <v>48</v>
      </c>
      <c r="P114" s="7" t="str">
        <f t="shared" si="196"/>
        <v>S</v>
      </c>
      <c r="Q114" s="7">
        <v>52</v>
      </c>
      <c r="R114" s="7" t="str">
        <f t="shared" si="197"/>
        <v>S</v>
      </c>
      <c r="S114" s="7" t="s">
        <v>6</v>
      </c>
      <c r="T114" s="7" t="str">
        <f t="shared" ref="T114:X114" si="202">IF(S114="-", "AB", IF(S114&gt;=75, "D", IF(S114&gt;=55, "C", IF(S114&gt;=35, "S", IF(S114&gt;=0, "F")))))</f>
        <v>AB</v>
      </c>
      <c r="U114" s="7" t="s">
        <v>6</v>
      </c>
      <c r="V114" s="7" t="str">
        <f t="shared" si="202"/>
        <v>AB</v>
      </c>
      <c r="W114" s="7" t="s">
        <v>6</v>
      </c>
      <c r="X114" s="7" t="str">
        <f t="shared" si="202"/>
        <v>AB</v>
      </c>
      <c r="Y114" s="7" t="s">
        <v>6</v>
      </c>
      <c r="Z114" s="7" t="str">
        <f t="shared" si="189"/>
        <v>AB</v>
      </c>
      <c r="AA114" s="7">
        <f t="shared" si="190"/>
        <v>360</v>
      </c>
      <c r="AB114" s="7" t="str">
        <f t="shared" si="191"/>
        <v>36%</v>
      </c>
      <c r="AC114" s="14" t="str">
        <f t="shared" ref="AC114:AC117" si="203">IF(AA114&gt;0, "Not Completed",
   IF(W114=10, "First Class",
      IF(V114&gt;75, IF(Y114&gt;0, "Ordinary Pass", "First Class"),
         IF(V114&gt;65, IF(Y114&gt;0, "Ordinary Pass", "Second Class"),
            IF(V114&lt;65, "Ordinary Pass", "")
         )
      )
   )
)</f>
        <v>Not Completed</v>
      </c>
      <c r="AD114" s="7"/>
      <c r="AE114" s="7">
        <f t="shared" si="157"/>
        <v>2</v>
      </c>
      <c r="AF114" s="7">
        <f t="shared" si="158"/>
        <v>0</v>
      </c>
      <c r="AG114" s="7">
        <f t="shared" si="159"/>
        <v>4</v>
      </c>
      <c r="AH114" s="12"/>
      <c r="AI114" s="14" t="str">
        <f t="shared" si="201"/>
        <v>Not Completed</v>
      </c>
      <c r="AJ114" s="7"/>
      <c r="AK114" s="32" t="str">
        <f t="shared" si="160"/>
        <v>Not Completed</v>
      </c>
    </row>
    <row r="115" spans="2:37" ht="27" customHeight="1">
      <c r="B115" s="28">
        <v>108</v>
      </c>
      <c r="C115" s="33" t="s">
        <v>432</v>
      </c>
      <c r="D115" s="34" t="s">
        <v>310</v>
      </c>
      <c r="E115" s="4" t="s">
        <v>270</v>
      </c>
      <c r="F115" s="34" t="s">
        <v>478</v>
      </c>
      <c r="G115" s="7">
        <v>57</v>
      </c>
      <c r="H115" s="7" t="str">
        <f>IF(G115="-", "Absent", IF(G115&gt;=75, "D", IF(G115&gt;=55, "C", IF(G115&gt;=35, "S", IF(G115&gt;=0, "F")))))</f>
        <v>C</v>
      </c>
      <c r="I115" s="7">
        <v>85</v>
      </c>
      <c r="J115" s="7" t="str">
        <f>IF(I115="-", "Absent", IF(I115&gt;=75, "D", IF(I115&gt;=55, "C", IF(I115&gt;=35, "S", IF(I115&gt;=0, "F")))))</f>
        <v>D</v>
      </c>
      <c r="K115" s="7">
        <v>88</v>
      </c>
      <c r="L115" s="7" t="str">
        <f>IF(K115="-", "Absent", IF(K115&gt;=75, "D", IF(K115&gt;=55, "C", IF(K115&gt;=35, "S", IF(K115&gt;=0, "F")))))</f>
        <v>D</v>
      </c>
      <c r="M115" s="7">
        <v>78</v>
      </c>
      <c r="N115" s="7" t="str">
        <f>IF(M115="-", "Absent", IF(M115&gt;=75, "D", IF(M115&gt;=55, "C", IF(M115&gt;=35, "S", IF(M115&gt;=0, "F")))))</f>
        <v>D</v>
      </c>
      <c r="O115" s="7">
        <v>63</v>
      </c>
      <c r="P115" s="7" t="str">
        <f>IF(O115="-", "Absent", IF(O115&gt;=75, "D", IF(O115&gt;=55, "C", IF(O115&gt;=35, "S", IF(O115&gt;=0, "F")))))</f>
        <v>C</v>
      </c>
      <c r="Q115" s="7">
        <v>84</v>
      </c>
      <c r="R115" s="7" t="str">
        <f>IF(Q115="-", "Absent", IF(Q115&gt;=75, "D", IF(Q115&gt;=55, "C", IF(Q115&gt;=35, "S", IF(Q115&gt;=0, "F")))))</f>
        <v>D</v>
      </c>
      <c r="S115" s="7">
        <v>90</v>
      </c>
      <c r="T115" s="7" t="str">
        <f>IF(S115="-", "Absent", IF(S115&gt;=75, "D", IF(S115&gt;=55, "C", IF(S115&gt;=35, "S", IF(S115&gt;=0, "F")))))</f>
        <v>D</v>
      </c>
      <c r="U115" s="7">
        <v>54</v>
      </c>
      <c r="V115" s="7" t="str">
        <f>IF(U115="-", "Absent", IF(U115&gt;=75, "D", IF(U115&gt;=55, "C", IF(U115&gt;=35, "S", IF(U115&gt;=0, "F")))))</f>
        <v>S</v>
      </c>
      <c r="W115" s="7">
        <v>65</v>
      </c>
      <c r="X115" s="7" t="str">
        <f>IF(W115="-", "Absent", IF(W115&gt;=75, "D", IF(W115&gt;=55, "C", IF(W115&gt;=35, "S", IF(W115&gt;=0, "F")))))</f>
        <v>C</v>
      </c>
      <c r="Y115" s="7">
        <v>52</v>
      </c>
      <c r="Z115" s="7" t="str">
        <f>IF(Y115="-", "AB", IF(Y115&gt;=75, "D", IF(Y115&gt;=55, "C", IF(Y115&gt;=35, "S", IF(Y115&gt;=0, "F")))))</f>
        <v>S</v>
      </c>
      <c r="AA115" s="7">
        <f t="shared" si="190"/>
        <v>716</v>
      </c>
      <c r="AB115" s="7" t="str">
        <f t="shared" si="191"/>
        <v>72%</v>
      </c>
      <c r="AC115" s="14" t="s">
        <v>454</v>
      </c>
      <c r="AD115" s="7"/>
      <c r="AE115" s="7">
        <f t="shared" si="157"/>
        <v>2</v>
      </c>
      <c r="AF115" s="7">
        <f t="shared" si="158"/>
        <v>0</v>
      </c>
      <c r="AG115" s="7">
        <f t="shared" si="159"/>
        <v>0</v>
      </c>
      <c r="AH115" s="12"/>
      <c r="AI115" s="14" t="str">
        <f t="shared" si="201"/>
        <v>Ordinary Pass</v>
      </c>
      <c r="AJ115" s="7"/>
      <c r="AK115" s="32" t="str">
        <f t="shared" si="160"/>
        <v>Not Completed</v>
      </c>
    </row>
    <row r="116" spans="2:37" ht="27" customHeight="1">
      <c r="B116" s="28">
        <v>109</v>
      </c>
      <c r="C116" s="29" t="s">
        <v>433</v>
      </c>
      <c r="D116" s="30" t="s">
        <v>311</v>
      </c>
      <c r="E116" s="4" t="s">
        <v>271</v>
      </c>
      <c r="F116" s="34" t="s">
        <v>478</v>
      </c>
      <c r="G116" s="7">
        <v>42</v>
      </c>
      <c r="H116" s="7" t="str">
        <f t="shared" ref="H116:H126" si="204">IF(G116="-", "Absent", IF(G116&gt;=75, "D", IF(G116&gt;=55, "C", IF(G116&gt;=35, "S", IF(G116&gt;=0, "F")))))</f>
        <v>S</v>
      </c>
      <c r="I116" s="7">
        <v>67</v>
      </c>
      <c r="J116" s="7" t="str">
        <f t="shared" ref="J116:J126" si="205">IF(I116="-", "Absent", IF(I116&gt;=75, "D", IF(I116&gt;=55, "C", IF(I116&gt;=35, "S", IF(I116&gt;=0, "F")))))</f>
        <v>C</v>
      </c>
      <c r="K116" s="7">
        <v>93</v>
      </c>
      <c r="L116" s="7" t="str">
        <f t="shared" ref="L116:L126" si="206">IF(K116="-", "Absent", IF(K116&gt;=75, "D", IF(K116&gt;=55, "C", IF(K116&gt;=35, "S", IF(K116&gt;=0, "F")))))</f>
        <v>D</v>
      </c>
      <c r="M116" s="7">
        <v>65</v>
      </c>
      <c r="N116" s="7" t="str">
        <f t="shared" ref="N116:N126" si="207">IF(M116="-", "Absent", IF(M116&gt;=75, "D", IF(M116&gt;=55, "C", IF(M116&gt;=35, "S", IF(M116&gt;=0, "F")))))</f>
        <v>C</v>
      </c>
      <c r="O116" s="7">
        <v>68</v>
      </c>
      <c r="P116" s="7" t="str">
        <f t="shared" ref="P116:P126" si="208">IF(O116="-", "Absent", IF(O116&gt;=75, "D", IF(O116&gt;=55, "C", IF(O116&gt;=35, "S", IF(O116&gt;=0, "F")))))</f>
        <v>C</v>
      </c>
      <c r="Q116" s="7">
        <v>81</v>
      </c>
      <c r="R116" s="7" t="str">
        <f t="shared" ref="R116:R126" si="209">IF(Q116="-", "Absent", IF(Q116&gt;=75, "D", IF(Q116&gt;=55, "C", IF(Q116&gt;=35, "S", IF(Q116&gt;=0, "F")))))</f>
        <v>D</v>
      </c>
      <c r="S116" s="7">
        <v>92</v>
      </c>
      <c r="T116" s="7" t="str">
        <f t="shared" ref="T116:T126" si="210">IF(S116="-", "Absent", IF(S116&gt;=75, "D", IF(S116&gt;=55, "C", IF(S116&gt;=35, "S", IF(S116&gt;=0, "F")))))</f>
        <v>D</v>
      </c>
      <c r="U116" s="7">
        <v>53</v>
      </c>
      <c r="V116" s="7" t="str">
        <f t="shared" ref="V116:V126" si="211">IF(U116="-", "Absent", IF(U116&gt;=75, "D", IF(U116&gt;=55, "C", IF(U116&gt;=35, "S", IF(U116&gt;=0, "F")))))</f>
        <v>S</v>
      </c>
      <c r="W116" s="7">
        <v>87</v>
      </c>
      <c r="X116" s="7" t="str">
        <f t="shared" ref="X116:X126" si="212">IF(W116="-", "Absent", IF(W116&gt;=75, "D", IF(W116&gt;=55, "C", IF(W116&gt;=35, "S", IF(W116&gt;=0, "F")))))</f>
        <v>D</v>
      </c>
      <c r="Y116" s="7">
        <v>42</v>
      </c>
      <c r="Z116" s="7" t="str">
        <f t="shared" ref="Z116:Z126" si="213">IF(Y116="-", "AB", IF(Y116&gt;=75, "D", IF(Y116&gt;=55, "C", IF(Y116&gt;=35, "S", IF(Y116&gt;=0, "F")))))</f>
        <v>S</v>
      </c>
      <c r="AA116" s="7">
        <f t="shared" si="190"/>
        <v>690</v>
      </c>
      <c r="AB116" s="7" t="str">
        <f t="shared" si="191"/>
        <v>69%</v>
      </c>
      <c r="AC116" s="14" t="s">
        <v>454</v>
      </c>
      <c r="AD116" s="7"/>
      <c r="AE116" s="7">
        <f t="shared" si="157"/>
        <v>2</v>
      </c>
      <c r="AF116" s="7">
        <f t="shared" si="158"/>
        <v>0</v>
      </c>
      <c r="AG116" s="7">
        <f t="shared" si="159"/>
        <v>0</v>
      </c>
      <c r="AH116" s="12"/>
      <c r="AI116" s="14" t="str">
        <f t="shared" si="201"/>
        <v>Ordinary Pass</v>
      </c>
      <c r="AJ116" s="7"/>
      <c r="AK116" s="32" t="str">
        <f t="shared" si="160"/>
        <v>Not Completed</v>
      </c>
    </row>
    <row r="117" spans="2:37" ht="27" customHeight="1">
      <c r="B117" s="28">
        <v>110</v>
      </c>
      <c r="C117" s="29" t="s">
        <v>434</v>
      </c>
      <c r="D117" s="30" t="s">
        <v>312</v>
      </c>
      <c r="E117" s="4" t="s">
        <v>272</v>
      </c>
      <c r="F117" s="34" t="s">
        <v>478</v>
      </c>
      <c r="G117" s="7" t="s">
        <v>6</v>
      </c>
      <c r="H117" s="7" t="str">
        <f t="shared" ref="H117:R117" si="214">IF(G117="-", "AB", IF(G117&gt;=75, "D", IF(G117&gt;=55, "C", IF(G117&gt;=35, "S", IF(G117&gt;=0, "F")))))</f>
        <v>AB</v>
      </c>
      <c r="I117" s="7" t="s">
        <v>6</v>
      </c>
      <c r="J117" s="7" t="str">
        <f t="shared" si="214"/>
        <v>AB</v>
      </c>
      <c r="K117" s="7" t="s">
        <v>6</v>
      </c>
      <c r="L117" s="7" t="str">
        <f t="shared" si="214"/>
        <v>AB</v>
      </c>
      <c r="M117" s="7" t="s">
        <v>6</v>
      </c>
      <c r="N117" s="7" t="str">
        <f t="shared" si="214"/>
        <v>AB</v>
      </c>
      <c r="O117" s="7" t="s">
        <v>6</v>
      </c>
      <c r="P117" s="7" t="str">
        <f t="shared" si="214"/>
        <v>AB</v>
      </c>
      <c r="Q117" s="7">
        <v>71</v>
      </c>
      <c r="R117" s="39" t="str">
        <f t="shared" si="214"/>
        <v>C</v>
      </c>
      <c r="S117" s="7">
        <v>78</v>
      </c>
      <c r="T117" s="7" t="str">
        <f t="shared" si="210"/>
        <v>D</v>
      </c>
      <c r="U117" s="7">
        <v>56</v>
      </c>
      <c r="V117" s="7" t="str">
        <f t="shared" si="211"/>
        <v>C</v>
      </c>
      <c r="W117" s="7">
        <v>67</v>
      </c>
      <c r="X117" s="7" t="str">
        <f t="shared" si="212"/>
        <v>C</v>
      </c>
      <c r="Y117" s="7">
        <v>44</v>
      </c>
      <c r="Z117" s="7" t="str">
        <f t="shared" si="213"/>
        <v>S</v>
      </c>
      <c r="AA117" s="7">
        <f t="shared" si="190"/>
        <v>316</v>
      </c>
      <c r="AB117" s="7" t="str">
        <f t="shared" si="191"/>
        <v>32%</v>
      </c>
      <c r="AC117" s="14" t="str">
        <f t="shared" si="203"/>
        <v>Not Completed</v>
      </c>
      <c r="AD117" s="7"/>
      <c r="AE117" s="7">
        <f t="shared" si="157"/>
        <v>1</v>
      </c>
      <c r="AF117" s="7">
        <f t="shared" si="158"/>
        <v>0</v>
      </c>
      <c r="AG117" s="7">
        <f t="shared" si="159"/>
        <v>5</v>
      </c>
      <c r="AH117" s="12"/>
      <c r="AI117" s="14" t="str">
        <f t="shared" si="201"/>
        <v>Not Completed</v>
      </c>
      <c r="AJ117" s="7"/>
      <c r="AK117" s="32" t="str">
        <f t="shared" si="160"/>
        <v>Not Completed</v>
      </c>
    </row>
    <row r="118" spans="2:37" ht="27" customHeight="1">
      <c r="B118" s="28">
        <v>111</v>
      </c>
      <c r="C118" s="29" t="s">
        <v>435</v>
      </c>
      <c r="D118" s="30" t="s">
        <v>313</v>
      </c>
      <c r="E118" s="4" t="s">
        <v>273</v>
      </c>
      <c r="F118" s="34" t="s">
        <v>478</v>
      </c>
      <c r="G118" s="7">
        <v>65</v>
      </c>
      <c r="H118" s="7" t="str">
        <f t="shared" si="204"/>
        <v>C</v>
      </c>
      <c r="I118" s="7">
        <v>73</v>
      </c>
      <c r="J118" s="7" t="str">
        <f t="shared" si="205"/>
        <v>C</v>
      </c>
      <c r="K118" s="7">
        <v>91</v>
      </c>
      <c r="L118" s="7" t="str">
        <f t="shared" si="206"/>
        <v>D</v>
      </c>
      <c r="M118" s="7">
        <v>80</v>
      </c>
      <c r="N118" s="7" t="str">
        <f t="shared" si="207"/>
        <v>D</v>
      </c>
      <c r="O118" s="7">
        <v>70</v>
      </c>
      <c r="P118" s="7" t="str">
        <f t="shared" si="208"/>
        <v>C</v>
      </c>
      <c r="Q118" s="7">
        <v>93</v>
      </c>
      <c r="R118" s="7" t="str">
        <f t="shared" si="209"/>
        <v>D</v>
      </c>
      <c r="S118" s="7">
        <v>83</v>
      </c>
      <c r="T118" s="7" t="str">
        <f t="shared" si="210"/>
        <v>D</v>
      </c>
      <c r="U118" s="7">
        <v>66</v>
      </c>
      <c r="V118" s="7" t="str">
        <f t="shared" si="211"/>
        <v>C</v>
      </c>
      <c r="W118" s="7">
        <v>80</v>
      </c>
      <c r="X118" s="7" t="str">
        <f t="shared" si="212"/>
        <v>D</v>
      </c>
      <c r="Y118" s="7">
        <v>45</v>
      </c>
      <c r="Z118" s="7" t="str">
        <f t="shared" si="213"/>
        <v>S</v>
      </c>
      <c r="AA118" s="7">
        <f t="shared" si="190"/>
        <v>746</v>
      </c>
      <c r="AB118" s="7" t="str">
        <f t="shared" si="191"/>
        <v>75%</v>
      </c>
      <c r="AC118" s="14" t="s">
        <v>454</v>
      </c>
      <c r="AD118" s="7"/>
      <c r="AE118" s="7">
        <f t="shared" si="157"/>
        <v>1</v>
      </c>
      <c r="AF118" s="7">
        <f t="shared" si="158"/>
        <v>0</v>
      </c>
      <c r="AG118" s="7">
        <f t="shared" si="159"/>
        <v>0</v>
      </c>
      <c r="AH118" s="12"/>
      <c r="AI118" s="14" t="str">
        <f t="shared" si="201"/>
        <v>Ordinary Pass</v>
      </c>
      <c r="AJ118" s="7"/>
      <c r="AK118" s="32" t="str">
        <f t="shared" si="160"/>
        <v>Not Completed</v>
      </c>
    </row>
    <row r="119" spans="2:37" ht="27" customHeight="1">
      <c r="B119" s="28">
        <v>112</v>
      </c>
      <c r="C119" s="29" t="s">
        <v>314</v>
      </c>
      <c r="D119" s="30">
        <v>198185101400</v>
      </c>
      <c r="E119" s="4" t="s">
        <v>274</v>
      </c>
      <c r="F119" s="34" t="s">
        <v>478</v>
      </c>
      <c r="G119" s="7">
        <v>46</v>
      </c>
      <c r="H119" s="7" t="str">
        <f t="shared" si="204"/>
        <v>S</v>
      </c>
      <c r="I119" s="7">
        <v>71</v>
      </c>
      <c r="J119" s="7" t="str">
        <f t="shared" si="205"/>
        <v>C</v>
      </c>
      <c r="K119" s="7">
        <v>77</v>
      </c>
      <c r="L119" s="7" t="str">
        <f t="shared" si="206"/>
        <v>D</v>
      </c>
      <c r="M119" s="7">
        <v>61</v>
      </c>
      <c r="N119" s="7" t="str">
        <f t="shared" si="207"/>
        <v>C</v>
      </c>
      <c r="O119" s="7">
        <v>65</v>
      </c>
      <c r="P119" s="7" t="str">
        <f t="shared" si="208"/>
        <v>C</v>
      </c>
      <c r="Q119" s="7">
        <v>48</v>
      </c>
      <c r="R119" s="7" t="str">
        <f t="shared" si="209"/>
        <v>S</v>
      </c>
      <c r="S119" s="7">
        <v>63</v>
      </c>
      <c r="T119" s="7" t="str">
        <f t="shared" si="210"/>
        <v>C</v>
      </c>
      <c r="U119" s="7">
        <v>51</v>
      </c>
      <c r="V119" s="7" t="str">
        <f t="shared" si="211"/>
        <v>S</v>
      </c>
      <c r="W119" s="7">
        <v>60</v>
      </c>
      <c r="X119" s="7" t="str">
        <f t="shared" si="212"/>
        <v>C</v>
      </c>
      <c r="Y119" s="7">
        <v>17</v>
      </c>
      <c r="Z119" s="7" t="str">
        <f t="shared" si="213"/>
        <v>F</v>
      </c>
      <c r="AA119" s="7">
        <f t="shared" si="190"/>
        <v>559</v>
      </c>
      <c r="AB119" s="7" t="str">
        <f t="shared" si="191"/>
        <v>56%</v>
      </c>
      <c r="AC119" s="14" t="s">
        <v>15</v>
      </c>
      <c r="AD119" s="7">
        <v>10</v>
      </c>
      <c r="AE119" s="7">
        <f t="shared" si="157"/>
        <v>2</v>
      </c>
      <c r="AF119" s="7">
        <f t="shared" si="158"/>
        <v>1</v>
      </c>
      <c r="AG119" s="7">
        <f t="shared" si="159"/>
        <v>0</v>
      </c>
      <c r="AH119" s="12"/>
      <c r="AI119" s="14" t="s">
        <v>15</v>
      </c>
      <c r="AJ119" s="7">
        <v>10</v>
      </c>
      <c r="AK119" s="32" t="str">
        <f t="shared" si="160"/>
        <v>Not Completed</v>
      </c>
    </row>
    <row r="120" spans="2:37" ht="27" customHeight="1">
      <c r="B120" s="28">
        <v>113</v>
      </c>
      <c r="C120" s="29" t="s">
        <v>436</v>
      </c>
      <c r="D120" s="30" t="s">
        <v>315</v>
      </c>
      <c r="E120" s="4" t="s">
        <v>275</v>
      </c>
      <c r="F120" s="34" t="s">
        <v>478</v>
      </c>
      <c r="G120" s="7">
        <v>13</v>
      </c>
      <c r="H120" s="7" t="str">
        <f t="shared" si="204"/>
        <v>F</v>
      </c>
      <c r="I120" s="7">
        <v>48</v>
      </c>
      <c r="J120" s="7" t="str">
        <f t="shared" si="205"/>
        <v>S</v>
      </c>
      <c r="K120" s="7">
        <v>50</v>
      </c>
      <c r="L120" s="7" t="str">
        <f t="shared" si="206"/>
        <v>S</v>
      </c>
      <c r="M120" s="7">
        <v>33</v>
      </c>
      <c r="N120" s="7" t="str">
        <f t="shared" si="207"/>
        <v>F</v>
      </c>
      <c r="O120" s="7">
        <v>34</v>
      </c>
      <c r="P120" s="7" t="str">
        <f t="shared" si="208"/>
        <v>F</v>
      </c>
      <c r="Q120" s="7">
        <v>67</v>
      </c>
      <c r="R120" s="7" t="str">
        <f t="shared" si="209"/>
        <v>C</v>
      </c>
      <c r="S120" s="7">
        <v>76</v>
      </c>
      <c r="T120" s="7" t="str">
        <f t="shared" si="210"/>
        <v>D</v>
      </c>
      <c r="U120" s="7">
        <v>38</v>
      </c>
      <c r="V120" s="7" t="str">
        <f t="shared" si="211"/>
        <v>S</v>
      </c>
      <c r="W120" s="7">
        <v>43</v>
      </c>
      <c r="X120" s="7" t="str">
        <f t="shared" si="212"/>
        <v>S</v>
      </c>
      <c r="Y120" s="7">
        <v>48</v>
      </c>
      <c r="Z120" s="7" t="str">
        <f t="shared" si="213"/>
        <v>S</v>
      </c>
      <c r="AA120" s="7">
        <f t="shared" si="190"/>
        <v>450</v>
      </c>
      <c r="AB120" s="7" t="str">
        <f t="shared" si="191"/>
        <v>45%</v>
      </c>
      <c r="AC120" s="14" t="s">
        <v>453</v>
      </c>
      <c r="AD120" s="7"/>
      <c r="AE120" s="7">
        <f t="shared" si="157"/>
        <v>5</v>
      </c>
      <c r="AF120" s="7">
        <f t="shared" si="158"/>
        <v>2</v>
      </c>
      <c r="AG120" s="7">
        <f t="shared" si="159"/>
        <v>0</v>
      </c>
      <c r="AH120" s="12"/>
      <c r="AI120" s="14" t="s">
        <v>453</v>
      </c>
      <c r="AJ120" s="7"/>
      <c r="AK120" s="32" t="str">
        <f t="shared" si="160"/>
        <v>Not Completed</v>
      </c>
    </row>
    <row r="121" spans="2:37" ht="27" customHeight="1">
      <c r="B121" s="28">
        <v>114</v>
      </c>
      <c r="C121" s="29" t="s">
        <v>316</v>
      </c>
      <c r="D121" s="30" t="s">
        <v>437</v>
      </c>
      <c r="E121" s="4" t="s">
        <v>276</v>
      </c>
      <c r="F121" s="34" t="s">
        <v>478</v>
      </c>
      <c r="G121" s="7">
        <v>47</v>
      </c>
      <c r="H121" s="7" t="str">
        <f t="shared" si="204"/>
        <v>S</v>
      </c>
      <c r="I121" s="7">
        <v>59</v>
      </c>
      <c r="J121" s="7" t="str">
        <f t="shared" si="205"/>
        <v>C</v>
      </c>
      <c r="K121" s="7">
        <v>58</v>
      </c>
      <c r="L121" s="7" t="str">
        <f t="shared" si="206"/>
        <v>C</v>
      </c>
      <c r="M121" s="7">
        <v>47</v>
      </c>
      <c r="N121" s="7" t="str">
        <f t="shared" si="207"/>
        <v>S</v>
      </c>
      <c r="O121" s="7">
        <v>48</v>
      </c>
      <c r="P121" s="7" t="str">
        <f t="shared" si="208"/>
        <v>S</v>
      </c>
      <c r="Q121" s="7">
        <v>59</v>
      </c>
      <c r="R121" s="7" t="str">
        <f t="shared" si="209"/>
        <v>C</v>
      </c>
      <c r="S121" s="7">
        <v>52</v>
      </c>
      <c r="T121" s="7" t="str">
        <f t="shared" si="210"/>
        <v>S</v>
      </c>
      <c r="U121" s="7">
        <v>47</v>
      </c>
      <c r="V121" s="7" t="str">
        <f t="shared" si="211"/>
        <v>S</v>
      </c>
      <c r="W121" s="7">
        <v>61</v>
      </c>
      <c r="X121" s="7" t="str">
        <f t="shared" si="212"/>
        <v>C</v>
      </c>
      <c r="Y121" s="7">
        <v>53</v>
      </c>
      <c r="Z121" s="7" t="str">
        <f t="shared" si="213"/>
        <v>S</v>
      </c>
      <c r="AA121" s="7">
        <f t="shared" si="190"/>
        <v>531</v>
      </c>
      <c r="AB121" s="7" t="str">
        <f t="shared" si="191"/>
        <v>53%</v>
      </c>
      <c r="AC121" s="14" t="s">
        <v>454</v>
      </c>
      <c r="AD121" s="7"/>
      <c r="AE121" s="7">
        <f t="shared" si="157"/>
        <v>5</v>
      </c>
      <c r="AF121" s="7">
        <f t="shared" si="158"/>
        <v>0</v>
      </c>
      <c r="AG121" s="7">
        <f t="shared" si="159"/>
        <v>0</v>
      </c>
      <c r="AH121" s="12"/>
      <c r="AI121" s="14" t="str">
        <f>IF(AG121&gt;0, "Not Completed",
   IF(AC121=10, "First Class",
      IF(AB121&gt;75, IF(AE121&gt;0, "Ordinary Pass", "First Class"),
         IF(AB121&gt;65, IF(AE121&gt;0, "Ordinary Pass", "Second Class"),
            IF(AB121&lt;65, "Ordinary Pass", "")
         )
      )
   )
)</f>
        <v>Ordinary Pass</v>
      </c>
      <c r="AJ121" s="7"/>
      <c r="AK121" s="32" t="str">
        <f t="shared" si="160"/>
        <v>Not Completed</v>
      </c>
    </row>
    <row r="122" spans="2:37" ht="27" customHeight="1">
      <c r="B122" s="28">
        <v>115</v>
      </c>
      <c r="C122" s="29" t="s">
        <v>438</v>
      </c>
      <c r="D122" s="30" t="s">
        <v>317</v>
      </c>
      <c r="E122" s="4" t="s">
        <v>277</v>
      </c>
      <c r="F122" s="34" t="s">
        <v>478</v>
      </c>
      <c r="G122" s="7">
        <v>65</v>
      </c>
      <c r="H122" s="7" t="str">
        <f t="shared" si="204"/>
        <v>C</v>
      </c>
      <c r="I122" s="7">
        <v>84</v>
      </c>
      <c r="J122" s="7" t="str">
        <f t="shared" si="205"/>
        <v>D</v>
      </c>
      <c r="K122" s="7">
        <v>82</v>
      </c>
      <c r="L122" s="7" t="str">
        <f t="shared" si="206"/>
        <v>D</v>
      </c>
      <c r="M122" s="7">
        <v>81</v>
      </c>
      <c r="N122" s="7" t="str">
        <f t="shared" si="207"/>
        <v>D</v>
      </c>
      <c r="O122" s="7">
        <v>58</v>
      </c>
      <c r="P122" s="7" t="str">
        <f>IF(O122="-", "Absent", IF(O122&gt;=75, "D", IF(O122&gt;=55, "C", IF(O122&gt;=35, "S", IF(O122&gt;=0, "F")))))</f>
        <v>C</v>
      </c>
      <c r="Q122" s="7">
        <v>70</v>
      </c>
      <c r="R122" s="7" t="str">
        <f t="shared" si="209"/>
        <v>C</v>
      </c>
      <c r="S122" s="7">
        <v>81</v>
      </c>
      <c r="T122" s="7" t="str">
        <f t="shared" si="210"/>
        <v>D</v>
      </c>
      <c r="U122" s="7">
        <v>66</v>
      </c>
      <c r="V122" s="7" t="str">
        <f t="shared" si="211"/>
        <v>C</v>
      </c>
      <c r="W122" s="7">
        <v>78</v>
      </c>
      <c r="X122" s="7" t="str">
        <f t="shared" si="212"/>
        <v>D</v>
      </c>
      <c r="Y122" s="7">
        <v>60</v>
      </c>
      <c r="Z122" s="7" t="str">
        <f t="shared" si="213"/>
        <v>C</v>
      </c>
      <c r="AA122" s="7">
        <f t="shared" si="190"/>
        <v>725</v>
      </c>
      <c r="AB122" s="7" t="str">
        <f t="shared" si="191"/>
        <v>73%</v>
      </c>
      <c r="AC122" s="17" t="s">
        <v>455</v>
      </c>
      <c r="AD122" s="7"/>
      <c r="AE122" s="7">
        <f t="shared" ref="AE122:AE153" si="215">COUNTIF(I122:AD122, "S")</f>
        <v>0</v>
      </c>
      <c r="AF122" s="7">
        <f t="shared" ref="AF122:AF153" si="216">COUNTIF(J122:AE122, "F")</f>
        <v>0</v>
      </c>
      <c r="AG122" s="7">
        <f t="shared" ref="AG122:AG153" si="217">COUNTIF(G122:AF122, "-")</f>
        <v>0</v>
      </c>
      <c r="AH122" s="12"/>
      <c r="AI122" s="17" t="s">
        <v>455</v>
      </c>
      <c r="AJ122" s="7"/>
      <c r="AK122" s="32" t="str">
        <f t="shared" ref="AK122:AK153" si="218">IF(AI122&gt;0, "Not Completed",
   IF(AE122=10, "First Class",
      IF(AB122&gt;75, IF(AG122&gt;0, "Ordinary Pass", "First Class"),
         IF(AB122&gt;65, IF(AG122&gt;0, "Ordinary Pass", "Second Class"),
            IF(AB122&lt;65, "Ordinary Pass", "")
         )
      )
   )
)</f>
        <v>Not Completed</v>
      </c>
    </row>
    <row r="123" spans="2:37" ht="27" customHeight="1">
      <c r="B123" s="28">
        <v>116</v>
      </c>
      <c r="C123" s="29" t="s">
        <v>318</v>
      </c>
      <c r="D123" s="30">
        <v>197258400500</v>
      </c>
      <c r="E123" s="4" t="s">
        <v>278</v>
      </c>
      <c r="F123" s="34" t="s">
        <v>478</v>
      </c>
      <c r="G123" s="7">
        <v>60</v>
      </c>
      <c r="H123" s="7" t="str">
        <f t="shared" si="204"/>
        <v>C</v>
      </c>
      <c r="I123" s="7">
        <v>84</v>
      </c>
      <c r="J123" s="7" t="str">
        <f t="shared" si="205"/>
        <v>D</v>
      </c>
      <c r="K123" s="7">
        <v>89</v>
      </c>
      <c r="L123" s="7" t="str">
        <f t="shared" si="206"/>
        <v>D</v>
      </c>
      <c r="M123" s="7">
        <v>83</v>
      </c>
      <c r="N123" s="7" t="str">
        <f t="shared" si="207"/>
        <v>D</v>
      </c>
      <c r="O123" s="7">
        <v>81</v>
      </c>
      <c r="P123" s="7" t="str">
        <f t="shared" si="208"/>
        <v>D</v>
      </c>
      <c r="Q123" s="7">
        <v>83</v>
      </c>
      <c r="R123" s="7" t="str">
        <f t="shared" si="209"/>
        <v>D</v>
      </c>
      <c r="S123" s="7">
        <v>93</v>
      </c>
      <c r="T123" s="7" t="str">
        <f t="shared" si="210"/>
        <v>D</v>
      </c>
      <c r="U123" s="7">
        <v>69</v>
      </c>
      <c r="V123" s="7" t="str">
        <f t="shared" si="211"/>
        <v>C</v>
      </c>
      <c r="W123" s="7">
        <v>76</v>
      </c>
      <c r="X123" s="7" t="str">
        <f t="shared" si="212"/>
        <v>D</v>
      </c>
      <c r="Y123" s="7">
        <v>46</v>
      </c>
      <c r="Z123" s="7" t="str">
        <f t="shared" si="213"/>
        <v>S</v>
      </c>
      <c r="AA123" s="7">
        <f t="shared" si="190"/>
        <v>764</v>
      </c>
      <c r="AB123" s="7" t="str">
        <f t="shared" si="191"/>
        <v>76%</v>
      </c>
      <c r="AC123" s="14" t="s">
        <v>454</v>
      </c>
      <c r="AD123" s="7"/>
      <c r="AE123" s="7">
        <f t="shared" si="215"/>
        <v>1</v>
      </c>
      <c r="AF123" s="7">
        <f t="shared" si="216"/>
        <v>0</v>
      </c>
      <c r="AG123" s="7">
        <f t="shared" si="217"/>
        <v>0</v>
      </c>
      <c r="AH123" s="12"/>
      <c r="AI123" s="14" t="s">
        <v>454</v>
      </c>
      <c r="AJ123" s="7"/>
      <c r="AK123" s="32" t="str">
        <f t="shared" si="218"/>
        <v>Not Completed</v>
      </c>
    </row>
    <row r="124" spans="2:37" ht="27" customHeight="1">
      <c r="B124" s="28">
        <v>117</v>
      </c>
      <c r="C124" s="29" t="s">
        <v>439</v>
      </c>
      <c r="D124" s="30">
        <v>197585301210</v>
      </c>
      <c r="E124" s="4" t="s">
        <v>279</v>
      </c>
      <c r="F124" s="34" t="s">
        <v>478</v>
      </c>
      <c r="G124" s="7">
        <v>41</v>
      </c>
      <c r="H124" s="7" t="str">
        <f t="shared" si="204"/>
        <v>S</v>
      </c>
      <c r="I124" s="7">
        <v>64</v>
      </c>
      <c r="J124" s="7" t="str">
        <f t="shared" si="205"/>
        <v>C</v>
      </c>
      <c r="K124" s="7">
        <v>40</v>
      </c>
      <c r="L124" s="7" t="str">
        <f t="shared" si="206"/>
        <v>S</v>
      </c>
      <c r="M124" s="7">
        <v>53</v>
      </c>
      <c r="N124" s="7" t="str">
        <f t="shared" si="207"/>
        <v>S</v>
      </c>
      <c r="O124" s="7">
        <v>43</v>
      </c>
      <c r="P124" s="7" t="str">
        <f t="shared" si="208"/>
        <v>S</v>
      </c>
      <c r="Q124" s="7">
        <v>27</v>
      </c>
      <c r="R124" s="7" t="str">
        <f t="shared" si="209"/>
        <v>F</v>
      </c>
      <c r="S124" s="7">
        <v>60</v>
      </c>
      <c r="T124" s="7" t="str">
        <f t="shared" si="210"/>
        <v>C</v>
      </c>
      <c r="U124" s="7">
        <v>46</v>
      </c>
      <c r="V124" s="7" t="str">
        <f t="shared" si="211"/>
        <v>S</v>
      </c>
      <c r="W124" s="7">
        <v>46</v>
      </c>
      <c r="X124" s="7" t="str">
        <f t="shared" si="212"/>
        <v>S</v>
      </c>
      <c r="Y124" s="7">
        <v>39</v>
      </c>
      <c r="Z124" s="7" t="str">
        <f t="shared" si="213"/>
        <v>S</v>
      </c>
      <c r="AA124" s="7">
        <f t="shared" si="190"/>
        <v>459</v>
      </c>
      <c r="AB124" s="7" t="str">
        <f t="shared" si="191"/>
        <v>46%</v>
      </c>
      <c r="AC124" s="14" t="s">
        <v>15</v>
      </c>
      <c r="AD124" s="7">
        <v>6</v>
      </c>
      <c r="AE124" s="7">
        <f t="shared" si="215"/>
        <v>6</v>
      </c>
      <c r="AF124" s="7">
        <f t="shared" si="216"/>
        <v>1</v>
      </c>
      <c r="AG124" s="7">
        <f t="shared" si="217"/>
        <v>0</v>
      </c>
      <c r="AH124" s="12"/>
      <c r="AI124" s="14" t="s">
        <v>15</v>
      </c>
      <c r="AJ124" s="7">
        <v>6</v>
      </c>
      <c r="AK124" s="32" t="str">
        <f t="shared" si="218"/>
        <v>Not Completed</v>
      </c>
    </row>
    <row r="125" spans="2:37" ht="27" customHeight="1">
      <c r="B125" s="28">
        <v>118</v>
      </c>
      <c r="C125" s="29" t="s">
        <v>440</v>
      </c>
      <c r="D125" s="30">
        <v>198157600140</v>
      </c>
      <c r="E125" s="4" t="s">
        <v>280</v>
      </c>
      <c r="F125" s="34" t="s">
        <v>478</v>
      </c>
      <c r="G125" s="7">
        <v>51</v>
      </c>
      <c r="H125" s="7" t="str">
        <f t="shared" si="204"/>
        <v>S</v>
      </c>
      <c r="I125" s="7">
        <v>76</v>
      </c>
      <c r="J125" s="7" t="str">
        <f t="shared" si="205"/>
        <v>D</v>
      </c>
      <c r="K125" s="7">
        <v>55</v>
      </c>
      <c r="L125" s="7" t="str">
        <f t="shared" si="206"/>
        <v>C</v>
      </c>
      <c r="M125" s="7">
        <v>53</v>
      </c>
      <c r="N125" s="7" t="str">
        <f t="shared" si="207"/>
        <v>S</v>
      </c>
      <c r="O125" s="7">
        <v>58</v>
      </c>
      <c r="P125" s="7" t="str">
        <f t="shared" si="208"/>
        <v>C</v>
      </c>
      <c r="Q125" s="7">
        <v>69</v>
      </c>
      <c r="R125" s="7" t="str">
        <f t="shared" si="209"/>
        <v>C</v>
      </c>
      <c r="S125" s="7">
        <v>89</v>
      </c>
      <c r="T125" s="7" t="str">
        <f t="shared" si="210"/>
        <v>D</v>
      </c>
      <c r="U125" s="7">
        <v>48</v>
      </c>
      <c r="V125" s="7" t="str">
        <f t="shared" si="211"/>
        <v>S</v>
      </c>
      <c r="W125" s="7">
        <v>57</v>
      </c>
      <c r="X125" s="7" t="str">
        <f t="shared" si="212"/>
        <v>C</v>
      </c>
      <c r="Y125" s="7">
        <v>22</v>
      </c>
      <c r="Z125" s="7" t="str">
        <f t="shared" si="213"/>
        <v>F</v>
      </c>
      <c r="AA125" s="7">
        <f t="shared" si="190"/>
        <v>578</v>
      </c>
      <c r="AB125" s="7" t="str">
        <f t="shared" si="191"/>
        <v>58%</v>
      </c>
      <c r="AC125" s="14" t="s">
        <v>15</v>
      </c>
      <c r="AD125" s="7">
        <v>10</v>
      </c>
      <c r="AE125" s="7">
        <f t="shared" si="215"/>
        <v>2</v>
      </c>
      <c r="AF125" s="7">
        <f t="shared" si="216"/>
        <v>1</v>
      </c>
      <c r="AG125" s="7">
        <f t="shared" si="217"/>
        <v>0</v>
      </c>
      <c r="AH125" s="12"/>
      <c r="AI125" s="14" t="s">
        <v>15</v>
      </c>
      <c r="AJ125" s="7">
        <v>10</v>
      </c>
      <c r="AK125" s="32" t="str">
        <f t="shared" si="218"/>
        <v>Not Completed</v>
      </c>
    </row>
    <row r="126" spans="2:37" ht="27" customHeight="1">
      <c r="B126" s="28">
        <v>119</v>
      </c>
      <c r="C126" s="29" t="s">
        <v>319</v>
      </c>
      <c r="D126" s="30">
        <v>199264803196</v>
      </c>
      <c r="E126" s="4" t="s">
        <v>281</v>
      </c>
      <c r="F126" s="34" t="s">
        <v>478</v>
      </c>
      <c r="G126" s="7">
        <v>63</v>
      </c>
      <c r="H126" s="7" t="str">
        <f t="shared" si="204"/>
        <v>C</v>
      </c>
      <c r="I126" s="7">
        <v>84</v>
      </c>
      <c r="J126" s="7" t="str">
        <f t="shared" si="205"/>
        <v>D</v>
      </c>
      <c r="K126" s="7">
        <v>89</v>
      </c>
      <c r="L126" s="7" t="str">
        <f t="shared" si="206"/>
        <v>D</v>
      </c>
      <c r="M126" s="7">
        <v>63</v>
      </c>
      <c r="N126" s="7" t="str">
        <f t="shared" si="207"/>
        <v>C</v>
      </c>
      <c r="O126" s="7">
        <v>75</v>
      </c>
      <c r="P126" s="7" t="str">
        <f t="shared" si="208"/>
        <v>D</v>
      </c>
      <c r="Q126" s="7">
        <v>58</v>
      </c>
      <c r="R126" s="7" t="str">
        <f t="shared" si="209"/>
        <v>C</v>
      </c>
      <c r="S126" s="7">
        <v>92</v>
      </c>
      <c r="T126" s="7" t="str">
        <f t="shared" si="210"/>
        <v>D</v>
      </c>
      <c r="U126" s="7">
        <v>45</v>
      </c>
      <c r="V126" s="7" t="str">
        <f t="shared" si="211"/>
        <v>S</v>
      </c>
      <c r="W126" s="7">
        <v>75</v>
      </c>
      <c r="X126" s="7" t="str">
        <f t="shared" si="212"/>
        <v>D</v>
      </c>
      <c r="Y126" s="7">
        <v>38</v>
      </c>
      <c r="Z126" s="7" t="str">
        <f t="shared" si="213"/>
        <v>S</v>
      </c>
      <c r="AA126" s="7">
        <f t="shared" si="190"/>
        <v>682</v>
      </c>
      <c r="AB126" s="7" t="str">
        <f t="shared" si="191"/>
        <v>68%</v>
      </c>
      <c r="AC126" s="14" t="s">
        <v>454</v>
      </c>
      <c r="AD126" s="7"/>
      <c r="AE126" s="7">
        <f t="shared" si="215"/>
        <v>2</v>
      </c>
      <c r="AF126" s="7">
        <f t="shared" si="216"/>
        <v>0</v>
      </c>
      <c r="AG126" s="7">
        <f t="shared" si="217"/>
        <v>0</v>
      </c>
      <c r="AH126" s="12"/>
      <c r="AI126" s="14" t="str">
        <f t="shared" ref="AI126:AI132" si="219">IF(AG126&gt;0, "Not Completed",
   IF(AC126=10, "First Class",
      IF(AB126&gt;75, IF(AE126&gt;0, "Ordinary Pass", "First Class"),
         IF(AB126&gt;65, IF(AE126&gt;0, "Ordinary Pass", "Second Class"),
            IF(AB126&lt;65, "Ordinary Pass", "")
         )
      )
   )
)</f>
        <v>Ordinary Pass</v>
      </c>
      <c r="AJ126" s="7"/>
      <c r="AK126" s="32" t="str">
        <f t="shared" si="218"/>
        <v>Not Completed</v>
      </c>
    </row>
    <row r="127" spans="2:37" ht="27" customHeight="1">
      <c r="B127" s="28">
        <v>120</v>
      </c>
      <c r="C127" s="29" t="s">
        <v>322</v>
      </c>
      <c r="D127" s="30">
        <v>198379401830</v>
      </c>
      <c r="E127" s="4" t="s">
        <v>282</v>
      </c>
      <c r="F127" s="34" t="s">
        <v>478</v>
      </c>
      <c r="G127" s="7">
        <v>67</v>
      </c>
      <c r="H127" s="7" t="str">
        <f>IF(G127="-", "Absent", IF(G127&gt;=75, "D", IF(G127&gt;=55, "C", IF(G127&gt;=35, "S", IF(G127&gt;=0, "F")))))</f>
        <v>C</v>
      </c>
      <c r="I127" s="7">
        <v>77</v>
      </c>
      <c r="J127" s="7" t="str">
        <f>IF(I127="-", "Absent", IF(I127&gt;=75, "D", IF(I127&gt;=55, "C", IF(I127&gt;=35, "S", IF(I127&gt;=0, "F")))))</f>
        <v>D</v>
      </c>
      <c r="K127" s="7">
        <v>76</v>
      </c>
      <c r="L127" s="7" t="str">
        <f>IF(K127="-", "Absent", IF(K127&gt;=75, "D", IF(K127&gt;=55, "C", IF(K127&gt;=35, "S", IF(K127&gt;=0, "F")))))</f>
        <v>D</v>
      </c>
      <c r="M127" s="7">
        <v>61</v>
      </c>
      <c r="N127" s="7" t="str">
        <f>IF(M127="-", "Absent", IF(M127&gt;=75, "D", IF(M127&gt;=55, "C", IF(M127&gt;=35, "S", IF(M127&gt;=0, "F")))))</f>
        <v>C</v>
      </c>
      <c r="O127" s="7">
        <v>60</v>
      </c>
      <c r="P127" s="7" t="str">
        <f>IF(O127="-", "Absent", IF(O127&gt;=75, "D", IF(O127&gt;=55, "C", IF(O127&gt;=35, "S", IF(O127&gt;=0, "F")))))</f>
        <v>C</v>
      </c>
      <c r="Q127" s="7">
        <v>79</v>
      </c>
      <c r="R127" s="7" t="str">
        <f>IF(Q127="-", "Absent", IF(Q127&gt;=75, "D", IF(Q127&gt;=55, "C", IF(Q127&gt;=35, "S", IF(Q127&gt;=0, "F")))))</f>
        <v>D</v>
      </c>
      <c r="S127" s="7">
        <v>86</v>
      </c>
      <c r="T127" s="7" t="str">
        <f>IF(S127="-", "Absent", IF(S127&gt;=75, "D", IF(S127&gt;=55, "C", IF(S127&gt;=35, "S", IF(S127&gt;=0, "F")))))</f>
        <v>D</v>
      </c>
      <c r="U127" s="7">
        <v>41</v>
      </c>
      <c r="V127" s="7" t="str">
        <f>IF(U127="-", "Absent", IF(U127&gt;=75, "D", IF(U127&gt;=55, "C", IF(U127&gt;=35, "S", IF(U127&gt;=0, "F")))))</f>
        <v>S</v>
      </c>
      <c r="W127" s="7">
        <v>67</v>
      </c>
      <c r="X127" s="7" t="str">
        <f>IF(W127="-", "Absent", IF(W127&gt;=75, "D", IF(W127&gt;=55, "C", IF(W127&gt;=35, "S", IF(W127&gt;=0, "F")))))</f>
        <v>C</v>
      </c>
      <c r="Y127" s="7">
        <v>52</v>
      </c>
      <c r="Z127" s="7" t="str">
        <f>IF(Y127="-", "AB", IF(Y127&gt;=75, "D", IF(Y127&gt;=55, "C", IF(Y127&gt;=35, "S", IF(Y127&gt;=0, "F")))))</f>
        <v>S</v>
      </c>
      <c r="AA127" s="7">
        <f>SUMIF(G127:Z127, "&lt;&gt;AB")</f>
        <v>666</v>
      </c>
      <c r="AB127" s="7" t="str">
        <f>ROUND(AA127/10, 0)&amp;"%"</f>
        <v>67%</v>
      </c>
      <c r="AC127" s="14" t="s">
        <v>454</v>
      </c>
      <c r="AD127" s="7"/>
      <c r="AE127" s="7">
        <f t="shared" si="215"/>
        <v>2</v>
      </c>
      <c r="AF127" s="7">
        <f t="shared" si="216"/>
        <v>0</v>
      </c>
      <c r="AG127" s="7">
        <f t="shared" si="217"/>
        <v>0</v>
      </c>
      <c r="AH127" s="12"/>
      <c r="AI127" s="14" t="str">
        <f t="shared" si="219"/>
        <v>Ordinary Pass</v>
      </c>
      <c r="AJ127" s="7"/>
      <c r="AK127" s="32" t="str">
        <f t="shared" si="218"/>
        <v>Not Completed</v>
      </c>
    </row>
    <row r="128" spans="2:37" ht="27" customHeight="1">
      <c r="B128" s="28">
        <v>121</v>
      </c>
      <c r="C128" s="29" t="s">
        <v>320</v>
      </c>
      <c r="D128" s="30" t="s">
        <v>321</v>
      </c>
      <c r="E128" s="4" t="s">
        <v>283</v>
      </c>
      <c r="F128" s="30" t="s">
        <v>478</v>
      </c>
      <c r="G128" s="7">
        <v>61</v>
      </c>
      <c r="H128" s="7" t="str">
        <f t="shared" ref="H128:H137" si="220">IF(G128="-", "Absent", IF(G128&gt;=75, "D", IF(G128&gt;=55, "C", IF(G128&gt;=35, "S", IF(G128&gt;=0, "F")))))</f>
        <v>C</v>
      </c>
      <c r="I128" s="7">
        <v>72</v>
      </c>
      <c r="J128" s="7" t="str">
        <f t="shared" ref="J128:J142" si="221">IF(I128="-", "Absent", IF(I128&gt;=75, "D", IF(I128&gt;=55, "C", IF(I128&gt;=35, "S", IF(I128&gt;=0, "F")))))</f>
        <v>C</v>
      </c>
      <c r="K128" s="7">
        <v>77</v>
      </c>
      <c r="L128" s="7" t="str">
        <f t="shared" ref="L128:L142" si="222">IF(K128="-", "Absent", IF(K128&gt;=75, "D", IF(K128&gt;=55, "C", IF(K128&gt;=35, "S", IF(K128&gt;=0, "F")))))</f>
        <v>D</v>
      </c>
      <c r="M128" s="7">
        <v>79</v>
      </c>
      <c r="N128" s="7" t="str">
        <f t="shared" ref="N128:N143" si="223">IF(M128="-", "Absent", IF(M128&gt;=75, "D", IF(M128&gt;=55, "C", IF(M128&gt;=35, "S", IF(M128&gt;=0, "F")))))</f>
        <v>D</v>
      </c>
      <c r="O128" s="7">
        <v>80</v>
      </c>
      <c r="P128" s="7" t="str">
        <f t="shared" ref="P128:P143" si="224">IF(O128="-", "Absent", IF(O128&gt;=75, "D", IF(O128&gt;=55, "C", IF(O128&gt;=35, "S", IF(O128&gt;=0, "F")))))</f>
        <v>D</v>
      </c>
      <c r="Q128" s="7">
        <v>67</v>
      </c>
      <c r="R128" s="7" t="str">
        <f t="shared" ref="R128:R137" si="225">IF(Q128="-", "Absent", IF(Q128&gt;=75, "D", IF(Q128&gt;=55, "C", IF(Q128&gt;=35, "S", IF(Q128&gt;=0, "F")))))</f>
        <v>C</v>
      </c>
      <c r="S128" s="7">
        <v>87</v>
      </c>
      <c r="T128" s="7" t="str">
        <f t="shared" ref="T128:T142" si="226">IF(S128="-", "Absent", IF(S128&gt;=75, "D", IF(S128&gt;=55, "C", IF(S128&gt;=35, "S", IF(S128&gt;=0, "F")))))</f>
        <v>D</v>
      </c>
      <c r="U128" s="7">
        <v>60</v>
      </c>
      <c r="V128" s="7" t="str">
        <f t="shared" ref="V128:V142" si="227">IF(U128="-", "Absent", IF(U128&gt;=75, "D", IF(U128&gt;=55, "C", IF(U128&gt;=35, "S", IF(U128&gt;=0, "F")))))</f>
        <v>C</v>
      </c>
      <c r="W128" s="7">
        <v>62</v>
      </c>
      <c r="X128" s="7" t="str">
        <f t="shared" ref="X128:X142" si="228">IF(W128="-", "Absent", IF(W128&gt;=75, "D", IF(W128&gt;=55, "C", IF(W128&gt;=35, "S", IF(W128&gt;=0, "F")))))</f>
        <v>C</v>
      </c>
      <c r="Y128" s="7">
        <v>42</v>
      </c>
      <c r="Z128" s="7" t="str">
        <f t="shared" ref="Z128:Z143" si="229">IF(Y128="-", "AB", IF(Y128&gt;=75, "D", IF(Y128&gt;=55, "C", IF(Y128&gt;=35, "S", IF(Y128&gt;=0, "F")))))</f>
        <v>S</v>
      </c>
      <c r="AA128" s="7">
        <f t="shared" ref="AA128:AA143" si="230">SUMIF(G128:Z128, "&lt;&gt;AB")</f>
        <v>687</v>
      </c>
      <c r="AB128" s="7" t="str">
        <f t="shared" ref="AB128:AB143" si="231">ROUND(AA128/10, 0)&amp;"%"</f>
        <v>69%</v>
      </c>
      <c r="AC128" s="14" t="s">
        <v>454</v>
      </c>
      <c r="AD128" s="7"/>
      <c r="AE128" s="7">
        <f t="shared" si="215"/>
        <v>1</v>
      </c>
      <c r="AF128" s="7">
        <f t="shared" si="216"/>
        <v>0</v>
      </c>
      <c r="AG128" s="7">
        <f t="shared" si="217"/>
        <v>0</v>
      </c>
      <c r="AH128" s="12"/>
      <c r="AI128" s="14" t="str">
        <f t="shared" si="219"/>
        <v>Ordinary Pass</v>
      </c>
      <c r="AJ128" s="7"/>
      <c r="AK128" s="32" t="str">
        <f t="shared" si="218"/>
        <v>Not Completed</v>
      </c>
    </row>
    <row r="129" spans="2:37" ht="27" customHeight="1">
      <c r="B129" s="28">
        <v>122</v>
      </c>
      <c r="C129" s="29" t="s">
        <v>441</v>
      </c>
      <c r="D129" s="30" t="s">
        <v>323</v>
      </c>
      <c r="E129" s="4" t="s">
        <v>284</v>
      </c>
      <c r="F129" s="30" t="s">
        <v>478</v>
      </c>
      <c r="G129" s="7">
        <v>64</v>
      </c>
      <c r="H129" s="7" t="str">
        <f t="shared" si="220"/>
        <v>C</v>
      </c>
      <c r="I129" s="7">
        <v>84</v>
      </c>
      <c r="J129" s="7" t="str">
        <f t="shared" si="221"/>
        <v>D</v>
      </c>
      <c r="K129" s="7">
        <v>89</v>
      </c>
      <c r="L129" s="7" t="str">
        <f t="shared" si="222"/>
        <v>D</v>
      </c>
      <c r="M129" s="7">
        <v>67</v>
      </c>
      <c r="N129" s="7" t="str">
        <f t="shared" si="223"/>
        <v>C</v>
      </c>
      <c r="O129" s="7">
        <v>62</v>
      </c>
      <c r="P129" s="7" t="str">
        <f t="shared" si="224"/>
        <v>C</v>
      </c>
      <c r="Q129" s="7">
        <v>83</v>
      </c>
      <c r="R129" s="7" t="str">
        <f t="shared" si="225"/>
        <v>D</v>
      </c>
      <c r="S129" s="7">
        <v>84</v>
      </c>
      <c r="T129" s="7" t="str">
        <f t="shared" si="226"/>
        <v>D</v>
      </c>
      <c r="U129" s="7">
        <v>67</v>
      </c>
      <c r="V129" s="7" t="str">
        <f t="shared" si="227"/>
        <v>C</v>
      </c>
      <c r="W129" s="7">
        <v>72</v>
      </c>
      <c r="X129" s="7" t="str">
        <f t="shared" si="228"/>
        <v>C</v>
      </c>
      <c r="Y129" s="7">
        <v>51</v>
      </c>
      <c r="Z129" s="7" t="str">
        <f t="shared" si="229"/>
        <v>S</v>
      </c>
      <c r="AA129" s="7">
        <f t="shared" si="230"/>
        <v>723</v>
      </c>
      <c r="AB129" s="7" t="str">
        <f t="shared" si="231"/>
        <v>72%</v>
      </c>
      <c r="AC129" s="14" t="s">
        <v>454</v>
      </c>
      <c r="AD129" s="7"/>
      <c r="AE129" s="7">
        <f t="shared" si="215"/>
        <v>1</v>
      </c>
      <c r="AF129" s="7">
        <f t="shared" si="216"/>
        <v>0</v>
      </c>
      <c r="AG129" s="7">
        <f t="shared" si="217"/>
        <v>0</v>
      </c>
      <c r="AH129" s="12"/>
      <c r="AI129" s="14" t="str">
        <f t="shared" si="219"/>
        <v>Ordinary Pass</v>
      </c>
      <c r="AJ129" s="7"/>
      <c r="AK129" s="32" t="str">
        <f t="shared" si="218"/>
        <v>Not Completed</v>
      </c>
    </row>
    <row r="130" spans="2:37" ht="27" customHeight="1">
      <c r="B130" s="28">
        <v>123</v>
      </c>
      <c r="C130" s="29" t="s">
        <v>324</v>
      </c>
      <c r="D130" s="30" t="s">
        <v>325</v>
      </c>
      <c r="E130" s="4" t="s">
        <v>285</v>
      </c>
      <c r="F130" s="30" t="s">
        <v>478</v>
      </c>
      <c r="G130" s="7">
        <v>49</v>
      </c>
      <c r="H130" s="7" t="str">
        <f t="shared" si="220"/>
        <v>S</v>
      </c>
      <c r="I130" s="7">
        <v>55</v>
      </c>
      <c r="J130" s="7" t="str">
        <f t="shared" si="221"/>
        <v>C</v>
      </c>
      <c r="K130" s="7">
        <v>42</v>
      </c>
      <c r="L130" s="7" t="str">
        <f t="shared" si="222"/>
        <v>S</v>
      </c>
      <c r="M130" s="7">
        <v>52</v>
      </c>
      <c r="N130" s="7" t="str">
        <f t="shared" si="223"/>
        <v>S</v>
      </c>
      <c r="O130" s="7">
        <v>52</v>
      </c>
      <c r="P130" s="7" t="str">
        <f t="shared" si="224"/>
        <v>S</v>
      </c>
      <c r="Q130" s="7" t="s">
        <v>6</v>
      </c>
      <c r="R130" s="7" t="str">
        <f t="shared" ref="R130:X130" si="232">IF(Q130="-", "AB", IF(Q130&gt;=75, "D", IF(Q130&gt;=55, "C", IF(Q130&gt;=35, "S", IF(Q130&gt;=0, "F")))))</f>
        <v>AB</v>
      </c>
      <c r="S130" s="7" t="s">
        <v>6</v>
      </c>
      <c r="T130" s="7" t="str">
        <f t="shared" si="232"/>
        <v>AB</v>
      </c>
      <c r="U130" s="7" t="s">
        <v>6</v>
      </c>
      <c r="V130" s="7" t="str">
        <f t="shared" si="232"/>
        <v>AB</v>
      </c>
      <c r="W130" s="7" t="s">
        <v>6</v>
      </c>
      <c r="X130" s="7" t="str">
        <f t="shared" si="232"/>
        <v>AB</v>
      </c>
      <c r="Y130" s="7" t="s">
        <v>6</v>
      </c>
      <c r="Z130" s="7" t="str">
        <f t="shared" si="229"/>
        <v>AB</v>
      </c>
      <c r="AA130" s="7">
        <f t="shared" si="230"/>
        <v>250</v>
      </c>
      <c r="AB130" s="7" t="str">
        <f t="shared" si="231"/>
        <v>25%</v>
      </c>
      <c r="AC130" s="14" t="str">
        <f t="shared" ref="AC130:AC143" si="233">IF(AA130&gt;0, "Not Completed",
   IF(W130=10, "First Class",
      IF(V130&gt;75, IF(Y130&gt;0, "Ordinary Pass", "First Class"),
         IF(V130&gt;65, IF(Y130&gt;0, "Ordinary Pass", "Second Class"),
            IF(V130&lt;65, "Ordinary Pass", "")
         )
      )
   )
)</f>
        <v>Not Completed</v>
      </c>
      <c r="AD130" s="7"/>
      <c r="AE130" s="7">
        <f t="shared" si="215"/>
        <v>3</v>
      </c>
      <c r="AF130" s="7">
        <f t="shared" si="216"/>
        <v>0</v>
      </c>
      <c r="AG130" s="7">
        <f t="shared" si="217"/>
        <v>5</v>
      </c>
      <c r="AH130" s="12"/>
      <c r="AI130" s="14" t="str">
        <f t="shared" si="219"/>
        <v>Not Completed</v>
      </c>
      <c r="AJ130" s="7"/>
      <c r="AK130" s="32" t="str">
        <f t="shared" si="218"/>
        <v>Not Completed</v>
      </c>
    </row>
    <row r="131" spans="2:37" ht="27" customHeight="1">
      <c r="B131" s="28">
        <v>124</v>
      </c>
      <c r="C131" s="29" t="s">
        <v>326</v>
      </c>
      <c r="D131" s="30" t="s">
        <v>327</v>
      </c>
      <c r="E131" s="4" t="s">
        <v>286</v>
      </c>
      <c r="F131" s="30" t="s">
        <v>478</v>
      </c>
      <c r="G131" s="7">
        <v>42</v>
      </c>
      <c r="H131" s="7" t="str">
        <f t="shared" si="220"/>
        <v>S</v>
      </c>
      <c r="I131" s="7">
        <v>48</v>
      </c>
      <c r="J131" s="7" t="str">
        <f t="shared" si="221"/>
        <v>S</v>
      </c>
      <c r="K131" s="7">
        <v>76</v>
      </c>
      <c r="L131" s="7" t="str">
        <f t="shared" si="222"/>
        <v>D</v>
      </c>
      <c r="M131" s="7">
        <v>57</v>
      </c>
      <c r="N131" s="7" t="str">
        <f t="shared" si="223"/>
        <v>C</v>
      </c>
      <c r="O131" s="7">
        <v>51</v>
      </c>
      <c r="P131" s="7" t="str">
        <f t="shared" si="224"/>
        <v>S</v>
      </c>
      <c r="Q131" s="7">
        <v>47</v>
      </c>
      <c r="R131" s="7" t="str">
        <f t="shared" si="225"/>
        <v>S</v>
      </c>
      <c r="S131" s="7">
        <v>53</v>
      </c>
      <c r="T131" s="7" t="str">
        <f t="shared" si="226"/>
        <v>S</v>
      </c>
      <c r="U131" s="7">
        <v>40</v>
      </c>
      <c r="V131" s="7" t="str">
        <f t="shared" si="227"/>
        <v>S</v>
      </c>
      <c r="W131" s="7">
        <v>47</v>
      </c>
      <c r="X131" s="7" t="str">
        <f t="shared" si="228"/>
        <v>S</v>
      </c>
      <c r="Y131" s="7">
        <v>42</v>
      </c>
      <c r="Z131" s="7" t="str">
        <f t="shared" si="229"/>
        <v>S</v>
      </c>
      <c r="AA131" s="7">
        <f t="shared" si="230"/>
        <v>503</v>
      </c>
      <c r="AB131" s="7" t="str">
        <f t="shared" si="231"/>
        <v>50%</v>
      </c>
      <c r="AC131" s="14" t="s">
        <v>454</v>
      </c>
      <c r="AD131" s="7"/>
      <c r="AE131" s="7">
        <f t="shared" si="215"/>
        <v>7</v>
      </c>
      <c r="AF131" s="7">
        <f t="shared" si="216"/>
        <v>0</v>
      </c>
      <c r="AG131" s="7">
        <f t="shared" si="217"/>
        <v>0</v>
      </c>
      <c r="AH131" s="12"/>
      <c r="AI131" s="14" t="str">
        <f t="shared" si="219"/>
        <v>Ordinary Pass</v>
      </c>
      <c r="AJ131" s="7"/>
      <c r="AK131" s="32" t="str">
        <f t="shared" si="218"/>
        <v>Not Completed</v>
      </c>
    </row>
    <row r="132" spans="2:37" ht="27" customHeight="1">
      <c r="B132" s="28">
        <v>125</v>
      </c>
      <c r="C132" s="29" t="s">
        <v>328</v>
      </c>
      <c r="D132" s="30">
        <v>198168900020</v>
      </c>
      <c r="E132" s="4" t="s">
        <v>287</v>
      </c>
      <c r="F132" s="30" t="s">
        <v>478</v>
      </c>
      <c r="G132" s="7">
        <v>54</v>
      </c>
      <c r="H132" s="7" t="str">
        <f t="shared" si="220"/>
        <v>S</v>
      </c>
      <c r="I132" s="7">
        <v>51</v>
      </c>
      <c r="J132" s="7" t="str">
        <f t="shared" si="221"/>
        <v>S</v>
      </c>
      <c r="K132" s="7">
        <v>82</v>
      </c>
      <c r="L132" s="7" t="str">
        <f t="shared" si="222"/>
        <v>D</v>
      </c>
      <c r="M132" s="7">
        <v>55</v>
      </c>
      <c r="N132" s="7" t="str">
        <f t="shared" si="223"/>
        <v>C</v>
      </c>
      <c r="O132" s="7">
        <v>68</v>
      </c>
      <c r="P132" s="7" t="str">
        <f t="shared" si="224"/>
        <v>C</v>
      </c>
      <c r="Q132" s="7">
        <v>52</v>
      </c>
      <c r="R132" s="7" t="str">
        <f t="shared" si="225"/>
        <v>S</v>
      </c>
      <c r="S132" s="7">
        <v>73</v>
      </c>
      <c r="T132" s="7" t="str">
        <f t="shared" si="226"/>
        <v>C</v>
      </c>
      <c r="U132" s="7">
        <v>45</v>
      </c>
      <c r="V132" s="7" t="str">
        <f t="shared" si="227"/>
        <v>S</v>
      </c>
      <c r="W132" s="7">
        <v>66</v>
      </c>
      <c r="X132" s="7" t="str">
        <f t="shared" si="228"/>
        <v>C</v>
      </c>
      <c r="Y132" s="7">
        <v>39</v>
      </c>
      <c r="Z132" s="7" t="str">
        <f t="shared" si="229"/>
        <v>S</v>
      </c>
      <c r="AA132" s="7">
        <f t="shared" si="230"/>
        <v>585</v>
      </c>
      <c r="AB132" s="7" t="str">
        <f t="shared" si="231"/>
        <v>59%</v>
      </c>
      <c r="AC132" s="14" t="s">
        <v>454</v>
      </c>
      <c r="AD132" s="7"/>
      <c r="AE132" s="7">
        <f t="shared" si="215"/>
        <v>4</v>
      </c>
      <c r="AF132" s="7">
        <f t="shared" si="216"/>
        <v>0</v>
      </c>
      <c r="AG132" s="7">
        <f t="shared" si="217"/>
        <v>0</v>
      </c>
      <c r="AH132" s="12"/>
      <c r="AI132" s="14" t="str">
        <f t="shared" si="219"/>
        <v>Ordinary Pass</v>
      </c>
      <c r="AJ132" s="7"/>
      <c r="AK132" s="32" t="str">
        <f t="shared" si="218"/>
        <v>Not Completed</v>
      </c>
    </row>
    <row r="133" spans="2:37" ht="27" customHeight="1">
      <c r="B133" s="28">
        <v>126</v>
      </c>
      <c r="C133" s="29" t="s">
        <v>329</v>
      </c>
      <c r="D133" s="30" t="s">
        <v>330</v>
      </c>
      <c r="E133" s="4" t="s">
        <v>288</v>
      </c>
      <c r="F133" s="30" t="s">
        <v>478</v>
      </c>
      <c r="G133" s="7">
        <v>30</v>
      </c>
      <c r="H133" s="7" t="str">
        <f t="shared" si="220"/>
        <v>F</v>
      </c>
      <c r="I133" s="7">
        <v>41</v>
      </c>
      <c r="J133" s="7" t="str">
        <f t="shared" si="221"/>
        <v>S</v>
      </c>
      <c r="K133" s="7">
        <v>22</v>
      </c>
      <c r="L133" s="7" t="str">
        <f t="shared" si="222"/>
        <v>F</v>
      </c>
      <c r="M133" s="7">
        <v>47</v>
      </c>
      <c r="N133" s="7" t="str">
        <f t="shared" si="223"/>
        <v>S</v>
      </c>
      <c r="O133" s="7">
        <v>35</v>
      </c>
      <c r="P133" s="7" t="str">
        <f t="shared" si="224"/>
        <v>S</v>
      </c>
      <c r="Q133" s="7">
        <v>28</v>
      </c>
      <c r="R133" s="7" t="str">
        <f t="shared" si="225"/>
        <v>F</v>
      </c>
      <c r="S133" s="7">
        <v>35</v>
      </c>
      <c r="T133" s="7" t="str">
        <f t="shared" si="226"/>
        <v>S</v>
      </c>
      <c r="U133" s="7">
        <v>41</v>
      </c>
      <c r="V133" s="7" t="str">
        <f t="shared" si="227"/>
        <v>S</v>
      </c>
      <c r="W133" s="7">
        <v>25</v>
      </c>
      <c r="X133" s="7" t="str">
        <f t="shared" si="228"/>
        <v>F</v>
      </c>
      <c r="Y133" s="7">
        <v>35</v>
      </c>
      <c r="Z133" s="7" t="str">
        <f t="shared" si="229"/>
        <v>S</v>
      </c>
      <c r="AA133" s="7">
        <f t="shared" si="230"/>
        <v>339</v>
      </c>
      <c r="AB133" s="7" t="str">
        <f t="shared" si="231"/>
        <v>34%</v>
      </c>
      <c r="AC133" s="14" t="s">
        <v>453</v>
      </c>
      <c r="AD133" s="7"/>
      <c r="AE133" s="7">
        <f t="shared" si="215"/>
        <v>6</v>
      </c>
      <c r="AF133" s="7">
        <f t="shared" si="216"/>
        <v>3</v>
      </c>
      <c r="AG133" s="7">
        <f t="shared" si="217"/>
        <v>0</v>
      </c>
      <c r="AH133" s="12"/>
      <c r="AI133" s="14" t="s">
        <v>453</v>
      </c>
      <c r="AJ133" s="7"/>
      <c r="AK133" s="32" t="str">
        <f t="shared" si="218"/>
        <v>Not Completed</v>
      </c>
    </row>
    <row r="134" spans="2:37" ht="27" customHeight="1">
      <c r="B134" s="28">
        <v>127</v>
      </c>
      <c r="C134" s="29" t="s">
        <v>442</v>
      </c>
      <c r="D134" s="30" t="s">
        <v>331</v>
      </c>
      <c r="E134" s="4" t="s">
        <v>289</v>
      </c>
      <c r="F134" s="30" t="s">
        <v>478</v>
      </c>
      <c r="G134" s="7">
        <v>51</v>
      </c>
      <c r="H134" s="7" t="str">
        <f t="shared" si="220"/>
        <v>S</v>
      </c>
      <c r="I134" s="7">
        <v>78</v>
      </c>
      <c r="J134" s="7" t="str">
        <f t="shared" si="221"/>
        <v>D</v>
      </c>
      <c r="K134" s="7">
        <v>91</v>
      </c>
      <c r="L134" s="7" t="str">
        <f t="shared" si="222"/>
        <v>D</v>
      </c>
      <c r="M134" s="7">
        <v>66</v>
      </c>
      <c r="N134" s="7" t="str">
        <f t="shared" si="223"/>
        <v>C</v>
      </c>
      <c r="O134" s="7">
        <v>71</v>
      </c>
      <c r="P134" s="7" t="str">
        <f t="shared" si="224"/>
        <v>C</v>
      </c>
      <c r="Q134" s="7">
        <v>77</v>
      </c>
      <c r="R134" s="7" t="str">
        <f t="shared" si="225"/>
        <v>D</v>
      </c>
      <c r="S134" s="7">
        <v>64</v>
      </c>
      <c r="T134" s="7" t="str">
        <f t="shared" si="226"/>
        <v>C</v>
      </c>
      <c r="U134" s="7">
        <v>56</v>
      </c>
      <c r="V134" s="7" t="str">
        <f t="shared" si="227"/>
        <v>C</v>
      </c>
      <c r="W134" s="7">
        <v>51</v>
      </c>
      <c r="X134" s="7" t="str">
        <f t="shared" si="228"/>
        <v>S</v>
      </c>
      <c r="Y134" s="7">
        <v>40</v>
      </c>
      <c r="Z134" s="7" t="str">
        <f t="shared" si="229"/>
        <v>S</v>
      </c>
      <c r="AA134" s="7">
        <f t="shared" si="230"/>
        <v>645</v>
      </c>
      <c r="AB134" s="7" t="str">
        <f t="shared" si="231"/>
        <v>65%</v>
      </c>
      <c r="AC134" s="14" t="s">
        <v>454</v>
      </c>
      <c r="AD134" s="7"/>
      <c r="AE134" s="7">
        <f t="shared" si="215"/>
        <v>2</v>
      </c>
      <c r="AF134" s="7">
        <f t="shared" si="216"/>
        <v>0</v>
      </c>
      <c r="AG134" s="7">
        <f t="shared" si="217"/>
        <v>0</v>
      </c>
      <c r="AH134" s="12"/>
      <c r="AI134" s="14" t="str">
        <f t="shared" ref="AI134:AI143" si="234">IF(AG134&gt;0, "Not Completed",
   IF(AC134=10, "First Class",
      IF(AB134&gt;75, IF(AE134&gt;0, "Ordinary Pass", "First Class"),
         IF(AB134&gt;65, IF(AE134&gt;0, "Ordinary Pass", "Second Class"),
            IF(AB134&lt;65, "Ordinary Pass", "")
         )
      )
   )
)</f>
        <v>Ordinary Pass</v>
      </c>
      <c r="AJ134" s="7"/>
      <c r="AK134" s="32" t="str">
        <f t="shared" si="218"/>
        <v>Not Completed</v>
      </c>
    </row>
    <row r="135" spans="2:37" ht="27" customHeight="1">
      <c r="B135" s="28">
        <v>128</v>
      </c>
      <c r="C135" s="29" t="s">
        <v>332</v>
      </c>
      <c r="D135" s="30" t="s">
        <v>333</v>
      </c>
      <c r="E135" s="4" t="s">
        <v>290</v>
      </c>
      <c r="F135" s="30" t="s">
        <v>478</v>
      </c>
      <c r="G135" s="7">
        <v>71</v>
      </c>
      <c r="H135" s="7" t="str">
        <f t="shared" si="220"/>
        <v>C</v>
      </c>
      <c r="I135" s="7">
        <v>86</v>
      </c>
      <c r="J135" s="7" t="str">
        <f t="shared" si="221"/>
        <v>D</v>
      </c>
      <c r="K135" s="7">
        <v>86</v>
      </c>
      <c r="L135" s="7" t="str">
        <f t="shared" si="222"/>
        <v>D</v>
      </c>
      <c r="M135" s="7">
        <v>74</v>
      </c>
      <c r="N135" s="7" t="str">
        <f t="shared" si="223"/>
        <v>C</v>
      </c>
      <c r="O135" s="7">
        <v>69</v>
      </c>
      <c r="P135" s="7" t="str">
        <f t="shared" si="224"/>
        <v>C</v>
      </c>
      <c r="Q135" s="7">
        <v>79</v>
      </c>
      <c r="R135" s="7" t="str">
        <f t="shared" si="225"/>
        <v>D</v>
      </c>
      <c r="S135" s="7">
        <v>61</v>
      </c>
      <c r="T135" s="7" t="str">
        <f t="shared" si="226"/>
        <v>C</v>
      </c>
      <c r="U135" s="7">
        <v>56</v>
      </c>
      <c r="V135" s="7" t="str">
        <f t="shared" si="227"/>
        <v>C</v>
      </c>
      <c r="W135" s="7">
        <v>70</v>
      </c>
      <c r="X135" s="7" t="str">
        <f t="shared" si="228"/>
        <v>C</v>
      </c>
      <c r="Y135" s="7">
        <v>42</v>
      </c>
      <c r="Z135" s="7" t="str">
        <f t="shared" si="229"/>
        <v>S</v>
      </c>
      <c r="AA135" s="7">
        <f t="shared" si="230"/>
        <v>694</v>
      </c>
      <c r="AB135" s="7" t="str">
        <f t="shared" si="231"/>
        <v>69%</v>
      </c>
      <c r="AC135" s="14" t="s">
        <v>454</v>
      </c>
      <c r="AD135" s="7"/>
      <c r="AE135" s="7">
        <f t="shared" si="215"/>
        <v>1</v>
      </c>
      <c r="AF135" s="7">
        <f t="shared" si="216"/>
        <v>0</v>
      </c>
      <c r="AG135" s="7">
        <f t="shared" si="217"/>
        <v>0</v>
      </c>
      <c r="AH135" s="12"/>
      <c r="AI135" s="14" t="str">
        <f t="shared" si="234"/>
        <v>Ordinary Pass</v>
      </c>
      <c r="AJ135" s="7"/>
      <c r="AK135" s="32" t="str">
        <f t="shared" si="218"/>
        <v>Not Completed</v>
      </c>
    </row>
    <row r="136" spans="2:37" ht="27" customHeight="1">
      <c r="B136" s="28">
        <v>129</v>
      </c>
      <c r="C136" s="29" t="s">
        <v>443</v>
      </c>
      <c r="D136" s="30">
        <v>198962002081</v>
      </c>
      <c r="E136" s="4" t="s">
        <v>291</v>
      </c>
      <c r="F136" s="30" t="s">
        <v>478</v>
      </c>
      <c r="G136" s="7" t="s">
        <v>6</v>
      </c>
      <c r="H136" s="7" t="str">
        <f t="shared" ref="H136:L138" si="235">IF(G136="-", "AB", IF(G136&gt;=75, "D", IF(G136&gt;=55, "C", IF(G136&gt;=35, "S", IF(G136&gt;=0, "F")))))</f>
        <v>AB</v>
      </c>
      <c r="I136" s="7" t="s">
        <v>6</v>
      </c>
      <c r="J136" s="7" t="str">
        <f t="shared" si="235"/>
        <v>AB</v>
      </c>
      <c r="K136" s="7" t="s">
        <v>6</v>
      </c>
      <c r="L136" s="7" t="str">
        <f t="shared" si="235"/>
        <v>AB</v>
      </c>
      <c r="M136" s="7">
        <v>75</v>
      </c>
      <c r="N136" s="7" t="str">
        <f t="shared" si="223"/>
        <v>D</v>
      </c>
      <c r="O136" s="7">
        <v>55</v>
      </c>
      <c r="P136" s="7" t="str">
        <f t="shared" si="224"/>
        <v>C</v>
      </c>
      <c r="Q136" s="39">
        <v>58</v>
      </c>
      <c r="R136" s="7" t="str">
        <f t="shared" ref="R136:R138" si="236">IF(Q136="-", "AB", IF(Q136&gt;=75, "D", IF(Q136&gt;=55, "C", IF(Q136&gt;=35, "S", IF(Q136&gt;=0, "F")))))</f>
        <v>C</v>
      </c>
      <c r="S136" s="7">
        <v>82</v>
      </c>
      <c r="T136" s="7" t="str">
        <f t="shared" si="226"/>
        <v>D</v>
      </c>
      <c r="U136" s="7">
        <v>54</v>
      </c>
      <c r="V136" s="7" t="str">
        <f t="shared" si="227"/>
        <v>S</v>
      </c>
      <c r="W136" s="7">
        <v>67</v>
      </c>
      <c r="X136" s="7" t="str">
        <f t="shared" si="228"/>
        <v>C</v>
      </c>
      <c r="Y136" s="7">
        <v>42</v>
      </c>
      <c r="Z136" s="7" t="str">
        <f t="shared" si="229"/>
        <v>S</v>
      </c>
      <c r="AA136" s="7">
        <f t="shared" si="230"/>
        <v>433</v>
      </c>
      <c r="AB136" s="7" t="str">
        <f t="shared" si="231"/>
        <v>43%</v>
      </c>
      <c r="AC136" s="14" t="str">
        <f t="shared" si="233"/>
        <v>Not Completed</v>
      </c>
      <c r="AD136" s="7"/>
      <c r="AE136" s="7">
        <f t="shared" si="215"/>
        <v>2</v>
      </c>
      <c r="AF136" s="7">
        <f t="shared" si="216"/>
        <v>0</v>
      </c>
      <c r="AG136" s="7">
        <f t="shared" si="217"/>
        <v>3</v>
      </c>
      <c r="AH136" s="12"/>
      <c r="AI136" s="14" t="str">
        <f t="shared" si="234"/>
        <v>Not Completed</v>
      </c>
      <c r="AJ136" s="7"/>
      <c r="AK136" s="32" t="str">
        <f t="shared" si="218"/>
        <v>Not Completed</v>
      </c>
    </row>
    <row r="137" spans="2:37" ht="27" customHeight="1">
      <c r="B137" s="28">
        <v>130</v>
      </c>
      <c r="C137" s="29" t="s">
        <v>444</v>
      </c>
      <c r="D137" s="30" t="s">
        <v>334</v>
      </c>
      <c r="E137" s="4" t="s">
        <v>292</v>
      </c>
      <c r="F137" s="30" t="s">
        <v>478</v>
      </c>
      <c r="G137" s="7">
        <v>41</v>
      </c>
      <c r="H137" s="7" t="str">
        <f t="shared" si="220"/>
        <v>S</v>
      </c>
      <c r="I137" s="7">
        <v>61</v>
      </c>
      <c r="J137" s="7" t="str">
        <f t="shared" si="221"/>
        <v>C</v>
      </c>
      <c r="K137" s="7">
        <v>87</v>
      </c>
      <c r="L137" s="7" t="str">
        <f t="shared" si="222"/>
        <v>D</v>
      </c>
      <c r="M137" s="7">
        <v>62</v>
      </c>
      <c r="N137" s="7" t="str">
        <f t="shared" si="223"/>
        <v>C</v>
      </c>
      <c r="O137" s="7">
        <v>53</v>
      </c>
      <c r="P137" s="7" t="str">
        <f t="shared" si="224"/>
        <v>S</v>
      </c>
      <c r="Q137" s="39">
        <v>71</v>
      </c>
      <c r="R137" s="39" t="str">
        <f t="shared" si="225"/>
        <v>C</v>
      </c>
      <c r="S137" s="7">
        <v>84</v>
      </c>
      <c r="T137" s="7" t="str">
        <f t="shared" si="226"/>
        <v>D</v>
      </c>
      <c r="U137" s="7">
        <v>44</v>
      </c>
      <c r="V137" s="7" t="str">
        <f t="shared" si="227"/>
        <v>S</v>
      </c>
      <c r="W137" s="7">
        <v>60</v>
      </c>
      <c r="X137" s="7" t="str">
        <f t="shared" si="228"/>
        <v>C</v>
      </c>
      <c r="Y137" s="7">
        <v>46</v>
      </c>
      <c r="Z137" s="7" t="str">
        <f t="shared" si="229"/>
        <v>S</v>
      </c>
      <c r="AA137" s="7">
        <f t="shared" si="230"/>
        <v>609</v>
      </c>
      <c r="AB137" s="7" t="str">
        <f t="shared" si="231"/>
        <v>61%</v>
      </c>
      <c r="AC137" s="14" t="s">
        <v>454</v>
      </c>
      <c r="AD137" s="7"/>
      <c r="AE137" s="7">
        <f t="shared" si="215"/>
        <v>3</v>
      </c>
      <c r="AF137" s="7">
        <f t="shared" si="216"/>
        <v>0</v>
      </c>
      <c r="AG137" s="7">
        <f t="shared" si="217"/>
        <v>0</v>
      </c>
      <c r="AH137" s="12"/>
      <c r="AI137" s="14" t="str">
        <f t="shared" si="234"/>
        <v>Ordinary Pass</v>
      </c>
      <c r="AJ137" s="7"/>
      <c r="AK137" s="32" t="str">
        <f t="shared" si="218"/>
        <v>Not Completed</v>
      </c>
    </row>
    <row r="138" spans="2:37" ht="27" customHeight="1">
      <c r="B138" s="28">
        <v>131</v>
      </c>
      <c r="C138" s="29" t="s">
        <v>445</v>
      </c>
      <c r="D138" s="30" t="s">
        <v>335</v>
      </c>
      <c r="E138" s="4" t="s">
        <v>293</v>
      </c>
      <c r="F138" s="30" t="s">
        <v>478</v>
      </c>
      <c r="G138" s="7" t="s">
        <v>6</v>
      </c>
      <c r="H138" s="7" t="str">
        <f t="shared" si="235"/>
        <v>AB</v>
      </c>
      <c r="I138" s="7">
        <v>71</v>
      </c>
      <c r="J138" s="7" t="str">
        <f t="shared" si="221"/>
        <v>C</v>
      </c>
      <c r="K138" s="7">
        <v>55</v>
      </c>
      <c r="L138" s="7" t="str">
        <f t="shared" si="222"/>
        <v>C</v>
      </c>
      <c r="M138" s="7">
        <v>48</v>
      </c>
      <c r="N138" s="7" t="str">
        <f t="shared" si="223"/>
        <v>S</v>
      </c>
      <c r="O138" s="7">
        <v>53</v>
      </c>
      <c r="P138" s="7" t="str">
        <f t="shared" si="224"/>
        <v>S</v>
      </c>
      <c r="Q138" s="39">
        <v>65</v>
      </c>
      <c r="R138" s="39" t="str">
        <f t="shared" si="236"/>
        <v>C</v>
      </c>
      <c r="S138" s="7">
        <v>64</v>
      </c>
      <c r="T138" s="7" t="str">
        <f t="shared" si="226"/>
        <v>C</v>
      </c>
      <c r="U138" s="7">
        <v>46</v>
      </c>
      <c r="V138" s="7" t="str">
        <f t="shared" si="227"/>
        <v>S</v>
      </c>
      <c r="W138" s="7">
        <v>59</v>
      </c>
      <c r="X138" s="7" t="str">
        <f t="shared" si="228"/>
        <v>C</v>
      </c>
      <c r="Y138" s="7">
        <v>48</v>
      </c>
      <c r="Z138" s="7" t="str">
        <f t="shared" si="229"/>
        <v>S</v>
      </c>
      <c r="AA138" s="7">
        <f t="shared" si="230"/>
        <v>509</v>
      </c>
      <c r="AB138" s="7" t="str">
        <f t="shared" si="231"/>
        <v>51%</v>
      </c>
      <c r="AC138" s="14" t="str">
        <f t="shared" si="233"/>
        <v>Not Completed</v>
      </c>
      <c r="AD138" s="7"/>
      <c r="AE138" s="7">
        <f t="shared" si="215"/>
        <v>4</v>
      </c>
      <c r="AF138" s="7">
        <f t="shared" si="216"/>
        <v>0</v>
      </c>
      <c r="AG138" s="7">
        <f t="shared" si="217"/>
        <v>1</v>
      </c>
      <c r="AH138" s="12"/>
      <c r="AI138" s="14" t="str">
        <f t="shared" si="234"/>
        <v>Not Completed</v>
      </c>
      <c r="AJ138" s="7"/>
      <c r="AK138" s="32" t="str">
        <f t="shared" si="218"/>
        <v>Not Completed</v>
      </c>
    </row>
    <row r="139" spans="2:37" ht="27" customHeight="1">
      <c r="B139" s="28">
        <v>132</v>
      </c>
      <c r="C139" s="29" t="s">
        <v>446</v>
      </c>
      <c r="D139" s="30" t="s">
        <v>336</v>
      </c>
      <c r="E139" s="4" t="s">
        <v>294</v>
      </c>
      <c r="F139" s="30" t="s">
        <v>478</v>
      </c>
      <c r="G139" s="7">
        <v>53</v>
      </c>
      <c r="H139" s="7" t="str">
        <f t="shared" ref="H139:H142" si="237">IF(G139="-", "Absent", IF(G139&gt;=75, "D", IF(G139&gt;=55, "C", IF(G139&gt;=35, "S", IF(G139&gt;=0, "F")))))</f>
        <v>S</v>
      </c>
      <c r="I139" s="7">
        <v>75</v>
      </c>
      <c r="J139" s="7" t="str">
        <f t="shared" si="221"/>
        <v>D</v>
      </c>
      <c r="K139" s="7">
        <v>63</v>
      </c>
      <c r="L139" s="7" t="str">
        <f t="shared" si="222"/>
        <v>C</v>
      </c>
      <c r="M139" s="7">
        <v>58</v>
      </c>
      <c r="N139" s="7" t="str">
        <f t="shared" si="223"/>
        <v>C</v>
      </c>
      <c r="O139" s="7">
        <v>74</v>
      </c>
      <c r="P139" s="7" t="str">
        <f t="shared" si="224"/>
        <v>C</v>
      </c>
      <c r="Q139" s="39">
        <v>56</v>
      </c>
      <c r="R139" s="39" t="str">
        <f t="shared" ref="R139:R142" si="238">IF(Q139="-", "Absent", IF(Q139&gt;=75, "D", IF(Q139&gt;=55, "C", IF(Q139&gt;=35, "S", IF(Q139&gt;=0, "F")))))</f>
        <v>C</v>
      </c>
      <c r="S139" s="7">
        <v>64</v>
      </c>
      <c r="T139" s="7" t="str">
        <f t="shared" si="226"/>
        <v>C</v>
      </c>
      <c r="U139" s="7">
        <v>41</v>
      </c>
      <c r="V139" s="7" t="str">
        <f t="shared" si="227"/>
        <v>S</v>
      </c>
      <c r="W139" s="7">
        <v>55</v>
      </c>
      <c r="X139" s="7" t="str">
        <f t="shared" si="228"/>
        <v>C</v>
      </c>
      <c r="Y139" s="7">
        <v>38</v>
      </c>
      <c r="Z139" s="7" t="str">
        <f t="shared" si="229"/>
        <v>S</v>
      </c>
      <c r="AA139" s="7">
        <f t="shared" si="230"/>
        <v>577</v>
      </c>
      <c r="AB139" s="7" t="str">
        <f t="shared" si="231"/>
        <v>58%</v>
      </c>
      <c r="AC139" s="14" t="s">
        <v>454</v>
      </c>
      <c r="AD139" s="7"/>
      <c r="AE139" s="7">
        <f t="shared" si="215"/>
        <v>2</v>
      </c>
      <c r="AF139" s="7">
        <f t="shared" si="216"/>
        <v>0</v>
      </c>
      <c r="AG139" s="7">
        <f t="shared" si="217"/>
        <v>0</v>
      </c>
      <c r="AH139" s="12"/>
      <c r="AI139" s="14" t="str">
        <f t="shared" si="234"/>
        <v>Ordinary Pass</v>
      </c>
      <c r="AJ139" s="7"/>
      <c r="AK139" s="32" t="str">
        <f t="shared" si="218"/>
        <v>Not Completed</v>
      </c>
    </row>
    <row r="140" spans="2:37" ht="27" customHeight="1">
      <c r="B140" s="28">
        <v>133</v>
      </c>
      <c r="C140" s="29" t="s">
        <v>337</v>
      </c>
      <c r="D140" s="30">
        <v>197855202974</v>
      </c>
      <c r="E140" s="4" t="s">
        <v>295</v>
      </c>
      <c r="F140" s="30" t="s">
        <v>478</v>
      </c>
      <c r="G140" s="7">
        <v>46</v>
      </c>
      <c r="H140" s="7" t="str">
        <f t="shared" si="237"/>
        <v>S</v>
      </c>
      <c r="I140" s="7">
        <v>77</v>
      </c>
      <c r="J140" s="7" t="str">
        <f t="shared" si="221"/>
        <v>D</v>
      </c>
      <c r="K140" s="7">
        <v>64</v>
      </c>
      <c r="L140" s="7" t="str">
        <f t="shared" si="222"/>
        <v>C</v>
      </c>
      <c r="M140" s="7">
        <v>72</v>
      </c>
      <c r="N140" s="7" t="str">
        <f t="shared" si="223"/>
        <v>C</v>
      </c>
      <c r="O140" s="7">
        <v>58</v>
      </c>
      <c r="P140" s="7" t="str">
        <f t="shared" si="224"/>
        <v>C</v>
      </c>
      <c r="Q140" s="39">
        <v>45</v>
      </c>
      <c r="R140" s="39" t="str">
        <f t="shared" si="238"/>
        <v>S</v>
      </c>
      <c r="S140" s="7">
        <v>58</v>
      </c>
      <c r="T140" s="7" t="str">
        <f t="shared" si="226"/>
        <v>C</v>
      </c>
      <c r="U140" s="7">
        <v>41</v>
      </c>
      <c r="V140" s="7" t="str">
        <f t="shared" si="227"/>
        <v>S</v>
      </c>
      <c r="W140" s="7">
        <v>60</v>
      </c>
      <c r="X140" s="7" t="str">
        <f t="shared" si="228"/>
        <v>C</v>
      </c>
      <c r="Y140" s="7">
        <v>47</v>
      </c>
      <c r="Z140" s="7" t="str">
        <f t="shared" si="229"/>
        <v>S</v>
      </c>
      <c r="AA140" s="7">
        <f t="shared" si="230"/>
        <v>568</v>
      </c>
      <c r="AB140" s="7" t="str">
        <f t="shared" si="231"/>
        <v>57%</v>
      </c>
      <c r="AC140" s="14" t="s">
        <v>454</v>
      </c>
      <c r="AD140" s="7"/>
      <c r="AE140" s="7">
        <f t="shared" si="215"/>
        <v>3</v>
      </c>
      <c r="AF140" s="7">
        <f t="shared" si="216"/>
        <v>0</v>
      </c>
      <c r="AG140" s="7">
        <f t="shared" si="217"/>
        <v>0</v>
      </c>
      <c r="AH140" s="12"/>
      <c r="AI140" s="14" t="str">
        <f t="shared" si="234"/>
        <v>Ordinary Pass</v>
      </c>
      <c r="AJ140" s="7"/>
      <c r="AK140" s="32" t="str">
        <f t="shared" si="218"/>
        <v>Not Completed</v>
      </c>
    </row>
    <row r="141" spans="2:37" ht="27" customHeight="1">
      <c r="B141" s="28">
        <v>134</v>
      </c>
      <c r="C141" s="29" t="s">
        <v>338</v>
      </c>
      <c r="D141" s="30" t="s">
        <v>339</v>
      </c>
      <c r="E141" s="4" t="s">
        <v>296</v>
      </c>
      <c r="F141" s="30" t="s">
        <v>478</v>
      </c>
      <c r="G141" s="7" t="s">
        <v>6</v>
      </c>
      <c r="H141" s="7" t="str">
        <f t="shared" ref="H141:L141" si="239">IF(G141="-", "AB", IF(G141&gt;=75, "D", IF(G141&gt;=55, "C", IF(G141&gt;=35, "S", IF(G141&gt;=0, "F")))))</f>
        <v>AB</v>
      </c>
      <c r="I141" s="7" t="s">
        <v>6</v>
      </c>
      <c r="J141" s="7" t="str">
        <f t="shared" si="239"/>
        <v>AB</v>
      </c>
      <c r="K141" s="7" t="s">
        <v>6</v>
      </c>
      <c r="L141" s="7" t="str">
        <f t="shared" si="239"/>
        <v>AB</v>
      </c>
      <c r="M141" s="7">
        <v>48</v>
      </c>
      <c r="N141" s="7" t="str">
        <f t="shared" si="223"/>
        <v>S</v>
      </c>
      <c r="O141" s="7" t="s">
        <v>6</v>
      </c>
      <c r="P141" s="7" t="str">
        <f t="shared" ref="P141:X143" si="240">IF(O141="-", "AB", IF(O141&gt;=75, "D", IF(O141&gt;=55, "C", IF(O141&gt;=35, "S", IF(O141&gt;=0, "F")))))</f>
        <v>AB</v>
      </c>
      <c r="Q141" s="39" t="s">
        <v>6</v>
      </c>
      <c r="R141" s="39" t="str">
        <f t="shared" si="240"/>
        <v>AB</v>
      </c>
      <c r="S141" s="7" t="s">
        <v>6</v>
      </c>
      <c r="T141" s="7" t="str">
        <f t="shared" si="240"/>
        <v>AB</v>
      </c>
      <c r="U141" s="7" t="s">
        <v>6</v>
      </c>
      <c r="V141" s="7" t="str">
        <f t="shared" si="240"/>
        <v>AB</v>
      </c>
      <c r="W141" s="7" t="s">
        <v>6</v>
      </c>
      <c r="X141" s="7" t="str">
        <f t="shared" si="240"/>
        <v>AB</v>
      </c>
      <c r="Y141" s="7" t="s">
        <v>6</v>
      </c>
      <c r="Z141" s="7" t="str">
        <f t="shared" si="229"/>
        <v>AB</v>
      </c>
      <c r="AA141" s="7">
        <f t="shared" si="230"/>
        <v>48</v>
      </c>
      <c r="AB141" s="7" t="str">
        <f t="shared" si="231"/>
        <v>5%</v>
      </c>
      <c r="AC141" s="14" t="str">
        <f t="shared" si="233"/>
        <v>Not Completed</v>
      </c>
      <c r="AD141" s="7"/>
      <c r="AE141" s="7">
        <f t="shared" si="215"/>
        <v>1</v>
      </c>
      <c r="AF141" s="7">
        <f t="shared" si="216"/>
        <v>0</v>
      </c>
      <c r="AG141" s="7">
        <f t="shared" si="217"/>
        <v>9</v>
      </c>
      <c r="AH141" s="12"/>
      <c r="AI141" s="14" t="str">
        <f t="shared" si="234"/>
        <v>Not Completed</v>
      </c>
      <c r="AJ141" s="7"/>
      <c r="AK141" s="32" t="str">
        <f t="shared" si="218"/>
        <v>Not Completed</v>
      </c>
    </row>
    <row r="142" spans="2:37" ht="27" customHeight="1">
      <c r="B142" s="28">
        <v>135</v>
      </c>
      <c r="C142" s="29" t="s">
        <v>340</v>
      </c>
      <c r="D142" s="30" t="s">
        <v>341</v>
      </c>
      <c r="E142" s="4" t="s">
        <v>297</v>
      </c>
      <c r="F142" s="30" t="s">
        <v>478</v>
      </c>
      <c r="G142" s="7">
        <v>52</v>
      </c>
      <c r="H142" s="7" t="str">
        <f t="shared" si="237"/>
        <v>S</v>
      </c>
      <c r="I142" s="7">
        <v>79</v>
      </c>
      <c r="J142" s="7" t="str">
        <f t="shared" si="221"/>
        <v>D</v>
      </c>
      <c r="K142" s="7">
        <v>88</v>
      </c>
      <c r="L142" s="7" t="str">
        <f t="shared" si="222"/>
        <v>D</v>
      </c>
      <c r="M142" s="7">
        <v>84</v>
      </c>
      <c r="N142" s="7" t="str">
        <f t="shared" si="223"/>
        <v>D</v>
      </c>
      <c r="O142" s="7">
        <v>58</v>
      </c>
      <c r="P142" s="7" t="str">
        <f t="shared" si="224"/>
        <v>C</v>
      </c>
      <c r="Q142" s="39">
        <v>82</v>
      </c>
      <c r="R142" s="39" t="str">
        <f t="shared" si="238"/>
        <v>D</v>
      </c>
      <c r="S142" s="7">
        <v>81</v>
      </c>
      <c r="T142" s="7" t="str">
        <f t="shared" si="226"/>
        <v>D</v>
      </c>
      <c r="U142" s="7">
        <v>50</v>
      </c>
      <c r="V142" s="7" t="str">
        <f t="shared" si="227"/>
        <v>S</v>
      </c>
      <c r="W142" s="7">
        <v>70</v>
      </c>
      <c r="X142" s="7" t="str">
        <f t="shared" si="228"/>
        <v>C</v>
      </c>
      <c r="Y142" s="7">
        <v>48</v>
      </c>
      <c r="Z142" s="7" t="str">
        <f t="shared" si="229"/>
        <v>S</v>
      </c>
      <c r="AA142" s="7">
        <f t="shared" si="230"/>
        <v>692</v>
      </c>
      <c r="AB142" s="7" t="str">
        <f t="shared" si="231"/>
        <v>69%</v>
      </c>
      <c r="AC142" s="14" t="s">
        <v>454</v>
      </c>
      <c r="AD142" s="7"/>
      <c r="AE142" s="7">
        <f t="shared" si="215"/>
        <v>2</v>
      </c>
      <c r="AF142" s="7">
        <f t="shared" si="216"/>
        <v>0</v>
      </c>
      <c r="AG142" s="7">
        <f t="shared" si="217"/>
        <v>0</v>
      </c>
      <c r="AH142" s="12"/>
      <c r="AI142" s="14" t="str">
        <f t="shared" si="234"/>
        <v>Ordinary Pass</v>
      </c>
      <c r="AJ142" s="7"/>
      <c r="AK142" s="32" t="str">
        <f t="shared" si="218"/>
        <v>Not Completed</v>
      </c>
    </row>
    <row r="143" spans="2:37" ht="27" customHeight="1">
      <c r="B143" s="28">
        <v>136</v>
      </c>
      <c r="C143" s="29" t="s">
        <v>342</v>
      </c>
      <c r="D143" s="30">
        <v>197485003528</v>
      </c>
      <c r="E143" s="4" t="s">
        <v>298</v>
      </c>
      <c r="F143" s="30" t="s">
        <v>478</v>
      </c>
      <c r="G143" s="7" t="s">
        <v>6</v>
      </c>
      <c r="H143" s="7" t="str">
        <f t="shared" ref="H143:L143" si="241">IF(G143="-", "AB", IF(G143&gt;=75, "D", IF(G143&gt;=55, "C", IF(G143&gt;=35, "S", IF(G143&gt;=0, "F")))))</f>
        <v>AB</v>
      </c>
      <c r="I143" s="7" t="s">
        <v>6</v>
      </c>
      <c r="J143" s="7" t="str">
        <f t="shared" si="241"/>
        <v>AB</v>
      </c>
      <c r="K143" s="7" t="s">
        <v>6</v>
      </c>
      <c r="L143" s="7" t="str">
        <f t="shared" si="241"/>
        <v>AB</v>
      </c>
      <c r="M143" s="7">
        <v>35</v>
      </c>
      <c r="N143" s="7" t="str">
        <f t="shared" si="223"/>
        <v>S</v>
      </c>
      <c r="O143" s="7">
        <v>27</v>
      </c>
      <c r="P143" s="7" t="str">
        <f t="shared" si="224"/>
        <v>F</v>
      </c>
      <c r="Q143" s="39" t="s">
        <v>6</v>
      </c>
      <c r="R143" s="39" t="str">
        <f t="shared" si="240"/>
        <v>AB</v>
      </c>
      <c r="S143" s="7" t="s">
        <v>6</v>
      </c>
      <c r="T143" s="7" t="str">
        <f t="shared" si="240"/>
        <v>AB</v>
      </c>
      <c r="U143" s="7" t="s">
        <v>6</v>
      </c>
      <c r="V143" s="7" t="str">
        <f t="shared" si="240"/>
        <v>AB</v>
      </c>
      <c r="W143" s="7" t="s">
        <v>6</v>
      </c>
      <c r="X143" s="7" t="str">
        <f t="shared" si="240"/>
        <v>AB</v>
      </c>
      <c r="Y143" s="7" t="s">
        <v>6</v>
      </c>
      <c r="Z143" s="7" t="str">
        <f t="shared" si="229"/>
        <v>AB</v>
      </c>
      <c r="AA143" s="7">
        <f t="shared" si="230"/>
        <v>62</v>
      </c>
      <c r="AB143" s="7" t="str">
        <f t="shared" si="231"/>
        <v>6%</v>
      </c>
      <c r="AC143" s="14" t="str">
        <f t="shared" si="233"/>
        <v>Not Completed</v>
      </c>
      <c r="AD143" s="7">
        <v>5</v>
      </c>
      <c r="AE143" s="7">
        <f t="shared" si="215"/>
        <v>1</v>
      </c>
      <c r="AF143" s="7">
        <f t="shared" si="216"/>
        <v>1</v>
      </c>
      <c r="AG143" s="7">
        <f t="shared" si="217"/>
        <v>8</v>
      </c>
      <c r="AH143" s="12"/>
      <c r="AI143" s="14" t="str">
        <f t="shared" si="234"/>
        <v>Not Completed</v>
      </c>
      <c r="AJ143" s="7">
        <v>5</v>
      </c>
      <c r="AK143" s="32" t="str">
        <f t="shared" si="218"/>
        <v>Not Completed</v>
      </c>
    </row>
    <row r="144" spans="2:37" ht="27" customHeight="1">
      <c r="B144" s="28">
        <v>137</v>
      </c>
      <c r="C144" s="29" t="s">
        <v>343</v>
      </c>
      <c r="D144" s="30" t="s">
        <v>344</v>
      </c>
      <c r="E144" s="4" t="s">
        <v>299</v>
      </c>
      <c r="F144" s="30" t="s">
        <v>478</v>
      </c>
      <c r="G144" s="7">
        <v>62</v>
      </c>
      <c r="H144" s="7" t="str">
        <f>IF(G144="-", "Absent", IF(G144&gt;=75, "D", IF(G144&gt;=55, "C", IF(G144&gt;=35, "S", IF(G144&gt;=0, "F")))))</f>
        <v>C</v>
      </c>
      <c r="I144" s="7">
        <v>67</v>
      </c>
      <c r="J144" s="7" t="str">
        <f>IF(I144="-", "Absent", IF(I144&gt;=75, "D", IF(I144&gt;=55, "C", IF(I144&gt;=35, "S", IF(I144&gt;=0, "F")))))</f>
        <v>C</v>
      </c>
      <c r="K144" s="7">
        <v>85</v>
      </c>
      <c r="L144" s="7" t="str">
        <f>IF(K144="-", "Absent", IF(K144&gt;=75, "D", IF(K144&gt;=55, "C", IF(K144&gt;=35, "S", IF(K144&gt;=0, "F")))))</f>
        <v>D</v>
      </c>
      <c r="M144" s="7">
        <v>63</v>
      </c>
      <c r="N144" s="7" t="str">
        <f>IF(M144="-", "Absent", IF(M144&gt;=75, "D", IF(M144&gt;=55, "C", IF(M144&gt;=35, "S", IF(M144&gt;=0, "F")))))</f>
        <v>C</v>
      </c>
      <c r="O144" s="7">
        <v>62</v>
      </c>
      <c r="P144" s="7" t="str">
        <f>IF(O144="-", "Absent", IF(O144&gt;=75, "D", IF(O144&gt;=55, "C", IF(O144&gt;=35, "S", IF(O144&gt;=0, "F")))))</f>
        <v>C</v>
      </c>
      <c r="Q144" s="39">
        <v>63</v>
      </c>
      <c r="R144" s="39" t="str">
        <f>IF(Q144="-", "Absent", IF(Q144&gt;=75, "D", IF(Q144&gt;=55, "C", IF(Q144&gt;=35, "S", IF(Q144&gt;=0, "F")))))</f>
        <v>C</v>
      </c>
      <c r="S144" s="7">
        <v>78</v>
      </c>
      <c r="T144" s="7" t="str">
        <f>IF(S144="-", "Absent", IF(S144&gt;=75, "D", IF(S144&gt;=55, "C", IF(S144&gt;=35, "S", IF(S144&gt;=0, "F")))))</f>
        <v>D</v>
      </c>
      <c r="U144" s="7">
        <v>51</v>
      </c>
      <c r="V144" s="7" t="str">
        <f>IF(U144="-", "Absent", IF(U144&gt;=75, "D", IF(U144&gt;=55, "C", IF(U144&gt;=35, "S", IF(U144&gt;=0, "F")))))</f>
        <v>S</v>
      </c>
      <c r="W144" s="7">
        <v>66</v>
      </c>
      <c r="X144" s="7" t="str">
        <f>IF(W144="-", "Absent", IF(W144&gt;=75, "D", IF(W144&gt;=55, "C", IF(W144&gt;=35, "S", IF(W144&gt;=0, "F")))))</f>
        <v>C</v>
      </c>
      <c r="Y144" s="7">
        <v>20</v>
      </c>
      <c r="Z144" s="7" t="str">
        <f>IF(Y144="-", "AB", IF(Y144&gt;=75, "D", IF(Y144&gt;=55, "C", IF(Y144&gt;=35, "S", IF(Y144&gt;=0, "F")))))</f>
        <v>F</v>
      </c>
      <c r="AA144" s="7">
        <f>SUMIF(G144:Z144, "&lt;&gt;AB")</f>
        <v>617</v>
      </c>
      <c r="AB144" s="7" t="str">
        <f>ROUND(AA144/10, 0)&amp;"%"</f>
        <v>62%</v>
      </c>
      <c r="AC144" s="14" t="s">
        <v>15</v>
      </c>
      <c r="AD144" s="7">
        <v>10</v>
      </c>
      <c r="AE144" s="7">
        <f t="shared" si="215"/>
        <v>1</v>
      </c>
      <c r="AF144" s="7">
        <f t="shared" si="216"/>
        <v>1</v>
      </c>
      <c r="AG144" s="7">
        <f t="shared" si="217"/>
        <v>0</v>
      </c>
      <c r="AH144" s="12"/>
      <c r="AI144" s="14" t="s">
        <v>15</v>
      </c>
      <c r="AJ144" s="7">
        <v>10</v>
      </c>
      <c r="AK144" s="32" t="str">
        <f t="shared" si="218"/>
        <v>Not Completed</v>
      </c>
    </row>
    <row r="145" spans="2:37" ht="27" customHeight="1">
      <c r="B145" s="28">
        <v>138</v>
      </c>
      <c r="C145" s="29" t="s">
        <v>345</v>
      </c>
      <c r="D145" s="30" t="s">
        <v>346</v>
      </c>
      <c r="E145" s="4" t="s">
        <v>300</v>
      </c>
      <c r="F145" s="30" t="s">
        <v>478</v>
      </c>
      <c r="G145" s="7">
        <v>58</v>
      </c>
      <c r="H145" s="7" t="str">
        <f t="shared" ref="H145:H154" si="242">IF(G145="-", "Absent", IF(G145&gt;=75, "D", IF(G145&gt;=55, "C", IF(G145&gt;=35, "S", IF(G145&gt;=0, "F")))))</f>
        <v>C</v>
      </c>
      <c r="I145" s="7">
        <v>72</v>
      </c>
      <c r="J145" s="7" t="str">
        <f t="shared" ref="J145:J154" si="243">IF(I145="-", "Absent", IF(I145&gt;=75, "D", IF(I145&gt;=55, "C", IF(I145&gt;=35, "S", IF(I145&gt;=0, "F")))))</f>
        <v>C</v>
      </c>
      <c r="K145" s="7">
        <v>90</v>
      </c>
      <c r="L145" s="7" t="str">
        <f t="shared" ref="L145:L154" si="244">IF(K145="-", "Absent", IF(K145&gt;=75, "D", IF(K145&gt;=55, "C", IF(K145&gt;=35, "S", IF(K145&gt;=0, "F")))))</f>
        <v>D</v>
      </c>
      <c r="M145" s="7">
        <v>64</v>
      </c>
      <c r="N145" s="7" t="str">
        <f t="shared" ref="N145:N154" si="245">IF(M145="-", "Absent", IF(M145&gt;=75, "D", IF(M145&gt;=55, "C", IF(M145&gt;=35, "S", IF(M145&gt;=0, "F")))))</f>
        <v>C</v>
      </c>
      <c r="O145" s="7">
        <v>60</v>
      </c>
      <c r="P145" s="7" t="str">
        <f t="shared" ref="P145:P154" si="246">IF(O145="-", "Absent", IF(O145&gt;=75, "D", IF(O145&gt;=55, "C", IF(O145&gt;=35, "S", IF(O145&gt;=0, "F")))))</f>
        <v>C</v>
      </c>
      <c r="Q145" s="39">
        <v>45</v>
      </c>
      <c r="R145" s="39" t="str">
        <f t="shared" ref="R145:R154" si="247">IF(Q145="-", "Absent", IF(Q145&gt;=75, "D", IF(Q145&gt;=55, "C", IF(Q145&gt;=35, "S", IF(Q145&gt;=0, "F")))))</f>
        <v>S</v>
      </c>
      <c r="S145" s="7" t="s">
        <v>6</v>
      </c>
      <c r="T145" s="7" t="str">
        <f t="shared" ref="T145" si="248">IF(S145="-", "AB", IF(S145&gt;=75, "D", IF(S145&gt;=55, "C", IF(S145&gt;=35, "S", IF(S145&gt;=0, "F")))))</f>
        <v>AB</v>
      </c>
      <c r="U145" s="7">
        <v>38</v>
      </c>
      <c r="V145" s="7" t="str">
        <f t="shared" ref="V145:V154" si="249">IF(U145="-", "Absent", IF(U145&gt;=75, "D", IF(U145&gt;=55, "C", IF(U145&gt;=35, "S", IF(U145&gt;=0, "F")))))</f>
        <v>S</v>
      </c>
      <c r="W145" s="7">
        <v>64</v>
      </c>
      <c r="X145" s="7" t="str">
        <f t="shared" ref="X145:X154" si="250">IF(W145="-", "Absent", IF(W145&gt;=75, "D", IF(W145&gt;=55, "C", IF(W145&gt;=35, "S", IF(W145&gt;=0, "F")))))</f>
        <v>C</v>
      </c>
      <c r="Y145" s="7">
        <v>41</v>
      </c>
      <c r="Z145" s="7" t="str">
        <f t="shared" ref="Z145:Z154" si="251">IF(Y145="-", "AB", IF(Y145&gt;=75, "D", IF(Y145&gt;=55, "C", IF(Y145&gt;=35, "S", IF(Y145&gt;=0, "F")))))</f>
        <v>S</v>
      </c>
      <c r="AA145" s="7">
        <f t="shared" ref="AA145:AA160" si="252">SUMIF(G145:Z145, "&lt;&gt;AB")</f>
        <v>532</v>
      </c>
      <c r="AB145" s="7" t="str">
        <f t="shared" ref="AB145:AB160" si="253">ROUND(AA145/10, 0)&amp;"%"</f>
        <v>53%</v>
      </c>
      <c r="AC145" s="14" t="str">
        <f t="shared" ref="AC145:AC153" si="254">IF(AA145&gt;0, "Not Completed",
   IF(W145=10, "First Class",
      IF(V145&gt;75, IF(Y145&gt;0, "Ordinary Pass", "First Class"),
         IF(V145&gt;65, IF(Y145&gt;0, "Ordinary Pass", "Second Class"),
            IF(V145&lt;65, "Ordinary Pass", "")
         )
      )
   )
)</f>
        <v>Not Completed</v>
      </c>
      <c r="AD145" s="7"/>
      <c r="AE145" s="7">
        <f t="shared" si="215"/>
        <v>3</v>
      </c>
      <c r="AF145" s="7">
        <f t="shared" si="216"/>
        <v>0</v>
      </c>
      <c r="AG145" s="7">
        <f t="shared" si="217"/>
        <v>1</v>
      </c>
      <c r="AH145" s="12"/>
      <c r="AI145" s="14" t="str">
        <f>IF(AG145&gt;0, "Not Completed",
   IF(AC145=10, "First Class",
      IF(AB145&gt;75, IF(AE145&gt;0, "Ordinary Pass", "First Class"),
         IF(AB145&gt;65, IF(AE145&gt;0, "Ordinary Pass", "Second Class"),
            IF(AB145&lt;65, "Ordinary Pass", "")
         )
      )
   )
)</f>
        <v>Not Completed</v>
      </c>
      <c r="AJ145" s="7"/>
      <c r="AK145" s="32" t="str">
        <f t="shared" si="218"/>
        <v>Not Completed</v>
      </c>
    </row>
    <row r="146" spans="2:37" ht="27" customHeight="1">
      <c r="B146" s="28">
        <v>139</v>
      </c>
      <c r="C146" s="29" t="s">
        <v>347</v>
      </c>
      <c r="D146" s="30">
        <v>198274603620</v>
      </c>
      <c r="E146" s="4" t="s">
        <v>301</v>
      </c>
      <c r="F146" s="30" t="s">
        <v>478</v>
      </c>
      <c r="G146" s="7">
        <v>48</v>
      </c>
      <c r="H146" s="7" t="str">
        <f t="shared" si="242"/>
        <v>S</v>
      </c>
      <c r="I146" s="7">
        <v>72</v>
      </c>
      <c r="J146" s="7" t="str">
        <f t="shared" si="243"/>
        <v>C</v>
      </c>
      <c r="K146" s="7">
        <v>76</v>
      </c>
      <c r="L146" s="7" t="str">
        <f t="shared" si="244"/>
        <v>D</v>
      </c>
      <c r="M146" s="7">
        <v>59</v>
      </c>
      <c r="N146" s="7" t="str">
        <f t="shared" si="245"/>
        <v>C</v>
      </c>
      <c r="O146" s="7">
        <v>40</v>
      </c>
      <c r="P146" s="7" t="str">
        <f t="shared" si="246"/>
        <v>S</v>
      </c>
      <c r="Q146" s="39">
        <v>67</v>
      </c>
      <c r="R146" s="39" t="str">
        <f t="shared" si="247"/>
        <v>C</v>
      </c>
      <c r="S146" s="7">
        <v>65</v>
      </c>
      <c r="T146" s="7" t="str">
        <f t="shared" ref="T146:T154" si="255">IF(S146="-", "Absent", IF(S146&gt;=75, "D", IF(S146&gt;=55, "C", IF(S146&gt;=35, "S", IF(S146&gt;=0, "F")))))</f>
        <v>C</v>
      </c>
      <c r="U146" s="7">
        <v>60</v>
      </c>
      <c r="V146" s="7" t="str">
        <f t="shared" si="249"/>
        <v>C</v>
      </c>
      <c r="W146" s="7">
        <v>56</v>
      </c>
      <c r="X146" s="7" t="str">
        <f t="shared" si="250"/>
        <v>C</v>
      </c>
      <c r="Y146" s="7">
        <v>38</v>
      </c>
      <c r="Z146" s="7" t="str">
        <f t="shared" si="251"/>
        <v>S</v>
      </c>
      <c r="AA146" s="7">
        <f t="shared" si="252"/>
        <v>581</v>
      </c>
      <c r="AB146" s="7" t="str">
        <f t="shared" si="253"/>
        <v>58%</v>
      </c>
      <c r="AC146" s="14" t="s">
        <v>454</v>
      </c>
      <c r="AD146" s="7"/>
      <c r="AE146" s="7">
        <f t="shared" si="215"/>
        <v>2</v>
      </c>
      <c r="AF146" s="7">
        <f t="shared" si="216"/>
        <v>0</v>
      </c>
      <c r="AG146" s="7">
        <f t="shared" si="217"/>
        <v>0</v>
      </c>
      <c r="AH146" s="12"/>
      <c r="AI146" s="14" t="str">
        <f>IF(AG146&gt;0, "Not Completed",
   IF(AC146=10, "First Class",
      IF(AB146&gt;75, IF(AE146&gt;0, "Ordinary Pass", "First Class"),
         IF(AB146&gt;65, IF(AE146&gt;0, "Ordinary Pass", "Second Class"),
            IF(AB146&lt;65, "Ordinary Pass", "")
         )
      )
   )
)</f>
        <v>Ordinary Pass</v>
      </c>
      <c r="AJ146" s="7"/>
      <c r="AK146" s="32" t="str">
        <f t="shared" si="218"/>
        <v>Not Completed</v>
      </c>
    </row>
    <row r="147" spans="2:37" ht="27" customHeight="1">
      <c r="B147" s="28">
        <v>140</v>
      </c>
      <c r="C147" s="29" t="s">
        <v>447</v>
      </c>
      <c r="D147" s="30" t="s">
        <v>348</v>
      </c>
      <c r="E147" s="4" t="s">
        <v>302</v>
      </c>
      <c r="F147" s="30" t="s">
        <v>478</v>
      </c>
      <c r="G147" s="7">
        <v>58</v>
      </c>
      <c r="H147" s="7" t="str">
        <f t="shared" si="242"/>
        <v>C</v>
      </c>
      <c r="I147" s="7">
        <v>70</v>
      </c>
      <c r="J147" s="7" t="str">
        <f t="shared" si="243"/>
        <v>C</v>
      </c>
      <c r="K147" s="7">
        <v>77</v>
      </c>
      <c r="L147" s="7" t="str">
        <f t="shared" si="244"/>
        <v>D</v>
      </c>
      <c r="M147" s="7">
        <v>72</v>
      </c>
      <c r="N147" s="7" t="str">
        <f t="shared" si="245"/>
        <v>C</v>
      </c>
      <c r="O147" s="7">
        <v>60</v>
      </c>
      <c r="P147" s="7" t="str">
        <f t="shared" si="246"/>
        <v>C</v>
      </c>
      <c r="Q147" s="39">
        <v>79</v>
      </c>
      <c r="R147" s="39" t="str">
        <f t="shared" si="247"/>
        <v>D</v>
      </c>
      <c r="S147" s="7">
        <v>88</v>
      </c>
      <c r="T147" s="7" t="str">
        <f t="shared" si="255"/>
        <v>D</v>
      </c>
      <c r="U147" s="7">
        <v>64</v>
      </c>
      <c r="V147" s="7" t="str">
        <f t="shared" si="249"/>
        <v>C</v>
      </c>
      <c r="W147" s="7">
        <v>65</v>
      </c>
      <c r="X147" s="7" t="str">
        <f t="shared" si="250"/>
        <v>C</v>
      </c>
      <c r="Y147" s="7">
        <v>32</v>
      </c>
      <c r="Z147" s="7" t="str">
        <f t="shared" si="251"/>
        <v>F</v>
      </c>
      <c r="AA147" s="7">
        <f t="shared" si="252"/>
        <v>665</v>
      </c>
      <c r="AB147" s="7" t="str">
        <f t="shared" si="253"/>
        <v>67%</v>
      </c>
      <c r="AC147" s="14" t="s">
        <v>15</v>
      </c>
      <c r="AD147" s="7">
        <v>10</v>
      </c>
      <c r="AE147" s="7">
        <f t="shared" si="215"/>
        <v>0</v>
      </c>
      <c r="AF147" s="7">
        <f t="shared" si="216"/>
        <v>1</v>
      </c>
      <c r="AG147" s="7">
        <f t="shared" si="217"/>
        <v>0</v>
      </c>
      <c r="AH147" s="12"/>
      <c r="AI147" s="14" t="s">
        <v>15</v>
      </c>
      <c r="AJ147" s="7">
        <v>10</v>
      </c>
      <c r="AK147" s="32" t="str">
        <f t="shared" si="218"/>
        <v>Not Completed</v>
      </c>
    </row>
    <row r="148" spans="2:37" ht="27" customHeight="1">
      <c r="B148" s="28">
        <v>141</v>
      </c>
      <c r="C148" s="29" t="s">
        <v>448</v>
      </c>
      <c r="D148" s="30" t="s">
        <v>349</v>
      </c>
      <c r="E148" s="4" t="s">
        <v>303</v>
      </c>
      <c r="F148" s="30" t="s">
        <v>478</v>
      </c>
      <c r="G148" s="7">
        <v>66</v>
      </c>
      <c r="H148" s="7" t="str">
        <f t="shared" si="242"/>
        <v>C</v>
      </c>
      <c r="I148" s="7">
        <v>73</v>
      </c>
      <c r="J148" s="7" t="str">
        <f t="shared" si="243"/>
        <v>C</v>
      </c>
      <c r="K148" s="7">
        <v>76</v>
      </c>
      <c r="L148" s="7" t="str">
        <f t="shared" si="244"/>
        <v>D</v>
      </c>
      <c r="M148" s="7">
        <v>62</v>
      </c>
      <c r="N148" s="7" t="str">
        <f t="shared" si="245"/>
        <v>C</v>
      </c>
      <c r="O148" s="7">
        <v>69</v>
      </c>
      <c r="P148" s="7" t="str">
        <f t="shared" si="246"/>
        <v>C</v>
      </c>
      <c r="Q148" s="39">
        <v>73</v>
      </c>
      <c r="R148" s="39" t="str">
        <f t="shared" si="247"/>
        <v>C</v>
      </c>
      <c r="S148" s="7">
        <v>85</v>
      </c>
      <c r="T148" s="7" t="str">
        <f t="shared" si="255"/>
        <v>D</v>
      </c>
      <c r="U148" s="7">
        <v>55</v>
      </c>
      <c r="V148" s="7" t="str">
        <f t="shared" si="249"/>
        <v>C</v>
      </c>
      <c r="W148" s="7">
        <v>63</v>
      </c>
      <c r="X148" s="7" t="str">
        <f t="shared" si="250"/>
        <v>C</v>
      </c>
      <c r="Y148" s="7" t="s">
        <v>6</v>
      </c>
      <c r="Z148" s="7" t="str">
        <f t="shared" si="251"/>
        <v>AB</v>
      </c>
      <c r="AA148" s="7">
        <f t="shared" si="252"/>
        <v>622</v>
      </c>
      <c r="AB148" s="7" t="str">
        <f t="shared" si="253"/>
        <v>62%</v>
      </c>
      <c r="AC148" s="14" t="str">
        <f t="shared" si="254"/>
        <v>Not Completed</v>
      </c>
      <c r="AD148" s="7"/>
      <c r="AE148" s="7">
        <f t="shared" si="215"/>
        <v>0</v>
      </c>
      <c r="AF148" s="7">
        <f t="shared" si="216"/>
        <v>0</v>
      </c>
      <c r="AG148" s="7">
        <f t="shared" si="217"/>
        <v>1</v>
      </c>
      <c r="AH148" s="12"/>
      <c r="AI148" s="14" t="str">
        <f t="shared" ref="AI148:AI153" si="256">IF(AG148&gt;0, "Not Completed",
   IF(AC148=10, "First Class",
      IF(AB148&gt;75, IF(AE148&gt;0, "Ordinary Pass", "First Class"),
         IF(AB148&gt;65, IF(AE148&gt;0, "Ordinary Pass", "Second Class"),
            IF(AB148&lt;65, "Ordinary Pass", "")
         )
      )
   )
)</f>
        <v>Not Completed</v>
      </c>
      <c r="AJ148" s="7"/>
      <c r="AK148" s="32" t="str">
        <f t="shared" si="218"/>
        <v>Not Completed</v>
      </c>
    </row>
    <row r="149" spans="2:37" ht="27" customHeight="1">
      <c r="B149" s="28">
        <v>142</v>
      </c>
      <c r="C149" s="19" t="s">
        <v>355</v>
      </c>
      <c r="D149" s="40" t="s">
        <v>356</v>
      </c>
      <c r="E149" s="4" t="s">
        <v>304</v>
      </c>
      <c r="F149" s="30" t="s">
        <v>478</v>
      </c>
      <c r="G149" s="7">
        <v>66</v>
      </c>
      <c r="H149" s="7" t="str">
        <f t="shared" si="242"/>
        <v>C</v>
      </c>
      <c r="I149" s="7">
        <v>73</v>
      </c>
      <c r="J149" s="7" t="str">
        <f t="shared" si="243"/>
        <v>C</v>
      </c>
      <c r="K149" s="7">
        <v>58</v>
      </c>
      <c r="L149" s="7" t="str">
        <f t="shared" si="244"/>
        <v>C</v>
      </c>
      <c r="M149" s="7">
        <v>74</v>
      </c>
      <c r="N149" s="7" t="str">
        <f t="shared" si="245"/>
        <v>C</v>
      </c>
      <c r="O149" s="7">
        <v>48</v>
      </c>
      <c r="P149" s="7" t="str">
        <f t="shared" si="246"/>
        <v>S</v>
      </c>
      <c r="Q149" s="39">
        <v>43</v>
      </c>
      <c r="R149" s="39" t="str">
        <f t="shared" si="247"/>
        <v>S</v>
      </c>
      <c r="S149" s="7">
        <v>42</v>
      </c>
      <c r="T149" s="7" t="str">
        <f t="shared" si="255"/>
        <v>S</v>
      </c>
      <c r="U149" s="7">
        <v>65</v>
      </c>
      <c r="V149" s="7" t="str">
        <f t="shared" si="249"/>
        <v>C</v>
      </c>
      <c r="W149" s="7">
        <v>53</v>
      </c>
      <c r="X149" s="7" t="str">
        <f t="shared" si="250"/>
        <v>S</v>
      </c>
      <c r="Y149" s="7">
        <v>38</v>
      </c>
      <c r="Z149" s="7" t="str">
        <f t="shared" si="251"/>
        <v>S</v>
      </c>
      <c r="AA149" s="7">
        <f t="shared" si="252"/>
        <v>560</v>
      </c>
      <c r="AB149" s="7" t="str">
        <f t="shared" si="253"/>
        <v>56%</v>
      </c>
      <c r="AC149" s="14" t="s">
        <v>454</v>
      </c>
      <c r="AD149" s="7"/>
      <c r="AE149" s="7">
        <f t="shared" si="215"/>
        <v>5</v>
      </c>
      <c r="AF149" s="7">
        <f t="shared" si="216"/>
        <v>0</v>
      </c>
      <c r="AG149" s="7">
        <f t="shared" si="217"/>
        <v>0</v>
      </c>
      <c r="AH149" s="12"/>
      <c r="AI149" s="14" t="str">
        <f t="shared" si="256"/>
        <v>Ordinary Pass</v>
      </c>
      <c r="AJ149" s="7"/>
      <c r="AK149" s="32" t="str">
        <f t="shared" si="218"/>
        <v>Not Completed</v>
      </c>
    </row>
    <row r="150" spans="2:37" ht="27" customHeight="1">
      <c r="B150" s="28">
        <v>143</v>
      </c>
      <c r="C150" s="29" t="s">
        <v>350</v>
      </c>
      <c r="D150" s="30" t="s">
        <v>351</v>
      </c>
      <c r="E150" s="4" t="s">
        <v>305</v>
      </c>
      <c r="F150" s="30" t="s">
        <v>478</v>
      </c>
      <c r="G150" s="7" t="s">
        <v>6</v>
      </c>
      <c r="H150" s="7" t="str">
        <f t="shared" ref="H150:R150" si="257">IF(G150="-", "AB", IF(G150&gt;=75, "D", IF(G150&gt;=55, "C", IF(G150&gt;=35, "S", IF(G150&gt;=0, "F")))))</f>
        <v>AB</v>
      </c>
      <c r="I150" s="7" t="s">
        <v>6</v>
      </c>
      <c r="J150" s="7" t="str">
        <f t="shared" si="257"/>
        <v>AB</v>
      </c>
      <c r="K150" s="7" t="s">
        <v>6</v>
      </c>
      <c r="L150" s="7" t="str">
        <f t="shared" si="257"/>
        <v>AB</v>
      </c>
      <c r="M150" s="7" t="s">
        <v>6</v>
      </c>
      <c r="N150" s="7" t="str">
        <f t="shared" si="257"/>
        <v>AB</v>
      </c>
      <c r="O150" s="7" t="s">
        <v>6</v>
      </c>
      <c r="P150" s="7" t="str">
        <f t="shared" si="257"/>
        <v>AB</v>
      </c>
      <c r="Q150" s="39">
        <v>83</v>
      </c>
      <c r="R150" s="39" t="str">
        <f t="shared" si="257"/>
        <v>D</v>
      </c>
      <c r="S150" s="7">
        <v>82</v>
      </c>
      <c r="T150" s="7" t="str">
        <f t="shared" si="255"/>
        <v>D</v>
      </c>
      <c r="U150" s="7">
        <v>48</v>
      </c>
      <c r="V150" s="7" t="str">
        <f t="shared" si="249"/>
        <v>S</v>
      </c>
      <c r="W150" s="7">
        <v>84</v>
      </c>
      <c r="X150" s="7" t="str">
        <f t="shared" si="250"/>
        <v>D</v>
      </c>
      <c r="Y150" s="7">
        <v>48</v>
      </c>
      <c r="Z150" s="7" t="str">
        <f t="shared" si="251"/>
        <v>S</v>
      </c>
      <c r="AA150" s="7">
        <f t="shared" si="252"/>
        <v>345</v>
      </c>
      <c r="AB150" s="7" t="str">
        <f t="shared" si="253"/>
        <v>35%</v>
      </c>
      <c r="AC150" s="14" t="str">
        <f t="shared" si="254"/>
        <v>Not Completed</v>
      </c>
      <c r="AD150" s="7"/>
      <c r="AE150" s="7">
        <f t="shared" si="215"/>
        <v>2</v>
      </c>
      <c r="AF150" s="7">
        <f t="shared" si="216"/>
        <v>0</v>
      </c>
      <c r="AG150" s="7">
        <f t="shared" si="217"/>
        <v>5</v>
      </c>
      <c r="AH150" s="12"/>
      <c r="AI150" s="14" t="str">
        <f t="shared" si="256"/>
        <v>Not Completed</v>
      </c>
      <c r="AJ150" s="7"/>
      <c r="AK150" s="32" t="str">
        <f t="shared" si="218"/>
        <v>Not Completed</v>
      </c>
    </row>
    <row r="151" spans="2:37" ht="27" customHeight="1">
      <c r="B151" s="28">
        <v>144</v>
      </c>
      <c r="C151" s="29" t="s">
        <v>449</v>
      </c>
      <c r="D151" s="30">
        <v>197872102301</v>
      </c>
      <c r="E151" s="4" t="s">
        <v>306</v>
      </c>
      <c r="F151" s="30" t="s">
        <v>478</v>
      </c>
      <c r="G151" s="7">
        <v>48</v>
      </c>
      <c r="H151" s="7" t="str">
        <f t="shared" si="242"/>
        <v>S</v>
      </c>
      <c r="I151" s="7">
        <v>68</v>
      </c>
      <c r="J151" s="7" t="str">
        <f t="shared" si="243"/>
        <v>C</v>
      </c>
      <c r="K151" s="7">
        <v>41</v>
      </c>
      <c r="L151" s="7" t="str">
        <f t="shared" si="244"/>
        <v>S</v>
      </c>
      <c r="M151" s="7">
        <v>47</v>
      </c>
      <c r="N151" s="7" t="str">
        <f t="shared" si="245"/>
        <v>S</v>
      </c>
      <c r="O151" s="7">
        <v>55</v>
      </c>
      <c r="P151" s="7" t="str">
        <f t="shared" si="246"/>
        <v>C</v>
      </c>
      <c r="Q151" s="7">
        <v>42</v>
      </c>
      <c r="R151" s="7" t="str">
        <f t="shared" si="247"/>
        <v>S</v>
      </c>
      <c r="S151" s="7">
        <v>53</v>
      </c>
      <c r="T151" s="7" t="str">
        <f t="shared" si="255"/>
        <v>S</v>
      </c>
      <c r="U151" s="7">
        <v>42</v>
      </c>
      <c r="V151" s="7" t="str">
        <f t="shared" si="249"/>
        <v>S</v>
      </c>
      <c r="W151" s="7">
        <v>47</v>
      </c>
      <c r="X151" s="7" t="str">
        <f t="shared" si="250"/>
        <v>S</v>
      </c>
      <c r="Y151" s="7">
        <v>49</v>
      </c>
      <c r="Z151" s="7" t="str">
        <f t="shared" si="251"/>
        <v>S</v>
      </c>
      <c r="AA151" s="7">
        <f t="shared" si="252"/>
        <v>492</v>
      </c>
      <c r="AB151" s="7" t="str">
        <f t="shared" si="253"/>
        <v>49%</v>
      </c>
      <c r="AC151" s="14" t="s">
        <v>454</v>
      </c>
      <c r="AD151" s="7"/>
      <c r="AE151" s="7">
        <f t="shared" si="215"/>
        <v>7</v>
      </c>
      <c r="AF151" s="7">
        <f t="shared" si="216"/>
        <v>0</v>
      </c>
      <c r="AG151" s="7">
        <f t="shared" si="217"/>
        <v>0</v>
      </c>
      <c r="AH151" s="12"/>
      <c r="AI151" s="14" t="str">
        <f t="shared" si="256"/>
        <v>Ordinary Pass</v>
      </c>
      <c r="AJ151" s="7"/>
      <c r="AK151" s="32" t="str">
        <f t="shared" si="218"/>
        <v>Not Completed</v>
      </c>
    </row>
    <row r="152" spans="2:37" ht="27" customHeight="1">
      <c r="B152" s="28">
        <v>145</v>
      </c>
      <c r="C152" s="29" t="s">
        <v>352</v>
      </c>
      <c r="D152" s="30" t="s">
        <v>353</v>
      </c>
      <c r="E152" s="4" t="s">
        <v>307</v>
      </c>
      <c r="F152" s="30" t="s">
        <v>478</v>
      </c>
      <c r="G152" s="7">
        <v>55</v>
      </c>
      <c r="H152" s="7" t="str">
        <f t="shared" si="242"/>
        <v>C</v>
      </c>
      <c r="I152" s="7">
        <v>80</v>
      </c>
      <c r="J152" s="7" t="str">
        <f t="shared" si="243"/>
        <v>D</v>
      </c>
      <c r="K152" s="7">
        <v>72</v>
      </c>
      <c r="L152" s="7" t="str">
        <f t="shared" si="244"/>
        <v>C</v>
      </c>
      <c r="M152" s="7">
        <v>69</v>
      </c>
      <c r="N152" s="7" t="str">
        <f t="shared" si="245"/>
        <v>C</v>
      </c>
      <c r="O152" s="7">
        <v>52</v>
      </c>
      <c r="P152" s="7" t="str">
        <f t="shared" si="246"/>
        <v>S</v>
      </c>
      <c r="Q152" s="7">
        <v>84</v>
      </c>
      <c r="R152" s="7" t="str">
        <f t="shared" si="247"/>
        <v>D</v>
      </c>
      <c r="S152" s="7">
        <v>79</v>
      </c>
      <c r="T152" s="7" t="str">
        <f t="shared" si="255"/>
        <v>D</v>
      </c>
      <c r="U152" s="7">
        <v>53</v>
      </c>
      <c r="V152" s="7" t="str">
        <f t="shared" si="249"/>
        <v>S</v>
      </c>
      <c r="W152" s="7">
        <v>71</v>
      </c>
      <c r="X152" s="7" t="str">
        <f t="shared" si="250"/>
        <v>C</v>
      </c>
      <c r="Y152" s="7">
        <v>41</v>
      </c>
      <c r="Z152" s="7" t="str">
        <f t="shared" si="251"/>
        <v>S</v>
      </c>
      <c r="AA152" s="7">
        <f t="shared" si="252"/>
        <v>656</v>
      </c>
      <c r="AB152" s="7" t="str">
        <f t="shared" si="253"/>
        <v>66%</v>
      </c>
      <c r="AC152" s="14" t="s">
        <v>454</v>
      </c>
      <c r="AD152" s="7"/>
      <c r="AE152" s="7">
        <f t="shared" si="215"/>
        <v>3</v>
      </c>
      <c r="AF152" s="7">
        <f t="shared" si="216"/>
        <v>0</v>
      </c>
      <c r="AG152" s="7">
        <f t="shared" si="217"/>
        <v>0</v>
      </c>
      <c r="AH152" s="12"/>
      <c r="AI152" s="14" t="str">
        <f t="shared" si="256"/>
        <v>Ordinary Pass</v>
      </c>
      <c r="AJ152" s="7"/>
      <c r="AK152" s="32" t="str">
        <f t="shared" si="218"/>
        <v>Not Completed</v>
      </c>
    </row>
    <row r="153" spans="2:37" ht="27" customHeight="1">
      <c r="B153" s="28">
        <v>146</v>
      </c>
      <c r="C153" s="29" t="s">
        <v>450</v>
      </c>
      <c r="D153" s="30" t="s">
        <v>354</v>
      </c>
      <c r="E153" s="4" t="s">
        <v>308</v>
      </c>
      <c r="F153" s="30" t="s">
        <v>478</v>
      </c>
      <c r="G153" s="7">
        <v>47</v>
      </c>
      <c r="H153" s="7" t="str">
        <f t="shared" si="242"/>
        <v>S</v>
      </c>
      <c r="I153" s="7">
        <v>51</v>
      </c>
      <c r="J153" s="7" t="str">
        <f t="shared" si="243"/>
        <v>S</v>
      </c>
      <c r="K153" s="7">
        <v>52</v>
      </c>
      <c r="L153" s="7" t="str">
        <f t="shared" si="244"/>
        <v>S</v>
      </c>
      <c r="M153" s="7">
        <v>61</v>
      </c>
      <c r="N153" s="7" t="str">
        <f t="shared" si="245"/>
        <v>C</v>
      </c>
      <c r="O153" s="7">
        <v>57</v>
      </c>
      <c r="P153" s="7" t="str">
        <f t="shared" si="246"/>
        <v>C</v>
      </c>
      <c r="Q153" s="7" t="s">
        <v>6</v>
      </c>
      <c r="R153" s="7" t="str">
        <f t="shared" ref="R153:X153" si="258">IF(Q153="-", "AB", IF(Q153&gt;=75, "D", IF(Q153&gt;=55, "C", IF(Q153&gt;=35, "S", IF(Q153&gt;=0, "F")))))</f>
        <v>AB</v>
      </c>
      <c r="S153" s="7" t="s">
        <v>6</v>
      </c>
      <c r="T153" s="7" t="str">
        <f t="shared" si="258"/>
        <v>AB</v>
      </c>
      <c r="U153" s="7" t="s">
        <v>6</v>
      </c>
      <c r="V153" s="7" t="str">
        <f t="shared" si="258"/>
        <v>AB</v>
      </c>
      <c r="W153" s="7" t="s">
        <v>6</v>
      </c>
      <c r="X153" s="7" t="str">
        <f t="shared" si="258"/>
        <v>AB</v>
      </c>
      <c r="Y153" s="7" t="s">
        <v>6</v>
      </c>
      <c r="Z153" s="7" t="str">
        <f t="shared" si="251"/>
        <v>AB</v>
      </c>
      <c r="AA153" s="7">
        <f t="shared" si="252"/>
        <v>268</v>
      </c>
      <c r="AB153" s="7" t="str">
        <f t="shared" si="253"/>
        <v>27%</v>
      </c>
      <c r="AC153" s="14" t="str">
        <f t="shared" si="254"/>
        <v>Not Completed</v>
      </c>
      <c r="AD153" s="7"/>
      <c r="AE153" s="7">
        <f t="shared" si="215"/>
        <v>2</v>
      </c>
      <c r="AF153" s="7">
        <f t="shared" si="216"/>
        <v>0</v>
      </c>
      <c r="AG153" s="7">
        <f t="shared" si="217"/>
        <v>5</v>
      </c>
      <c r="AH153" s="12"/>
      <c r="AI153" s="14" t="str">
        <f t="shared" si="256"/>
        <v>Not Completed</v>
      </c>
      <c r="AJ153" s="7"/>
      <c r="AK153" s="32" t="str">
        <f t="shared" si="218"/>
        <v>Not Completed</v>
      </c>
    </row>
    <row r="154" spans="2:37" ht="27" customHeight="1">
      <c r="B154" s="28">
        <v>147</v>
      </c>
      <c r="C154" s="29" t="s">
        <v>357</v>
      </c>
      <c r="D154" s="30"/>
      <c r="E154" s="4" t="s">
        <v>309</v>
      </c>
      <c r="F154" s="30" t="s">
        <v>478</v>
      </c>
      <c r="G154" s="7">
        <v>58</v>
      </c>
      <c r="H154" s="7" t="str">
        <f t="shared" si="242"/>
        <v>C</v>
      </c>
      <c r="I154" s="7">
        <v>59</v>
      </c>
      <c r="J154" s="7" t="str">
        <f t="shared" si="243"/>
        <v>C</v>
      </c>
      <c r="K154" s="7">
        <v>62</v>
      </c>
      <c r="L154" s="7" t="str">
        <f t="shared" si="244"/>
        <v>C</v>
      </c>
      <c r="M154" s="7">
        <v>64</v>
      </c>
      <c r="N154" s="7" t="str">
        <f t="shared" si="245"/>
        <v>C</v>
      </c>
      <c r="O154" s="7">
        <v>46</v>
      </c>
      <c r="P154" s="7" t="str">
        <f t="shared" si="246"/>
        <v>S</v>
      </c>
      <c r="Q154" s="7">
        <v>45</v>
      </c>
      <c r="R154" s="7" t="str">
        <f t="shared" si="247"/>
        <v>S</v>
      </c>
      <c r="S154" s="7">
        <v>34</v>
      </c>
      <c r="T154" s="7" t="str">
        <f t="shared" si="255"/>
        <v>F</v>
      </c>
      <c r="U154" s="7">
        <v>44</v>
      </c>
      <c r="V154" s="7" t="str">
        <f t="shared" si="249"/>
        <v>S</v>
      </c>
      <c r="W154" s="7">
        <v>50</v>
      </c>
      <c r="X154" s="7" t="str">
        <f t="shared" si="250"/>
        <v>S</v>
      </c>
      <c r="Y154" s="7">
        <v>36</v>
      </c>
      <c r="Z154" s="7" t="str">
        <f t="shared" si="251"/>
        <v>S</v>
      </c>
      <c r="AA154" s="7">
        <f t="shared" si="252"/>
        <v>498</v>
      </c>
      <c r="AB154" s="7" t="str">
        <f t="shared" si="253"/>
        <v>50%</v>
      </c>
      <c r="AC154" s="14" t="s">
        <v>15</v>
      </c>
      <c r="AD154" s="7">
        <v>7</v>
      </c>
      <c r="AE154" s="7">
        <f t="shared" ref="AE154:AE173" si="259">COUNTIF(I154:AD154, "S")</f>
        <v>5</v>
      </c>
      <c r="AF154" s="7">
        <f t="shared" ref="AF154:AF173" si="260">COUNTIF(J154:AE154, "F")</f>
        <v>1</v>
      </c>
      <c r="AG154" s="7">
        <f t="shared" ref="AG154:AG173" si="261">COUNTIF(G154:AF154, "-")</f>
        <v>0</v>
      </c>
      <c r="AH154" s="12"/>
      <c r="AI154" s="14" t="s">
        <v>15</v>
      </c>
      <c r="AJ154" s="7">
        <v>7</v>
      </c>
      <c r="AK154" s="32" t="str">
        <f t="shared" ref="AK154:AK173" si="262">IF(AI154&gt;0, "Not Completed",
   IF(AE154=10, "First Class",
      IF(AB154&gt;75, IF(AG154&gt;0, "Ordinary Pass", "First Class"),
         IF(AB154&gt;65, IF(AG154&gt;0, "Ordinary Pass", "Second Class"),
            IF(AB154&lt;65, "Ordinary Pass", "")
         )
      )
   )
)</f>
        <v>Not Completed</v>
      </c>
    </row>
    <row r="155" spans="2:37" ht="27" customHeight="1">
      <c r="B155" s="28">
        <v>148</v>
      </c>
      <c r="C155" s="24" t="s">
        <v>358</v>
      </c>
      <c r="D155" s="25">
        <v>197958000</v>
      </c>
      <c r="E155" s="4" t="s">
        <v>359</v>
      </c>
      <c r="F155" s="25" t="s">
        <v>479</v>
      </c>
      <c r="G155" s="7">
        <v>57</v>
      </c>
      <c r="H155" s="7" t="str">
        <f>IF(G155="-", "Absent", IF(G155&gt;=75, "D", IF(G155&gt;=55, "C", IF(G155&gt;=35, "S", IF(G155&gt;=0, "F")))))</f>
        <v>C</v>
      </c>
      <c r="I155" s="7">
        <v>84</v>
      </c>
      <c r="J155" s="7" t="str">
        <f>IF(I155="-", "Absent", IF(I155&gt;=75, "D", IF(I155&gt;=55, "C", IF(I155&gt;=35, "S", IF(I155&gt;=0, "F")))))</f>
        <v>D</v>
      </c>
      <c r="K155" s="7">
        <v>85</v>
      </c>
      <c r="L155" s="7" t="str">
        <f>IF(K155="-", "Absent", IF(K155&gt;=75, "D", IF(K155&gt;=55, "C", IF(K155&gt;=35, "S", IF(K155&gt;=0, "F")))))</f>
        <v>D</v>
      </c>
      <c r="M155" s="7">
        <v>67</v>
      </c>
      <c r="N155" s="7" t="str">
        <f>IF(M155="-", "Absent", IF(M155&gt;=75, "D", IF(M155&gt;=55, "C", IF(M155&gt;=35, "S", IF(M155&gt;=0, "F")))))</f>
        <v>C</v>
      </c>
      <c r="O155" s="7">
        <v>58</v>
      </c>
      <c r="P155" s="7" t="str">
        <f>IF(O155="-", "Absent", IF(O155&gt;=75, "D", IF(O155&gt;=55, "C", IF(O155&gt;=35, "S", IF(O155&gt;=0, "F")))))</f>
        <v>C</v>
      </c>
      <c r="Q155" s="7">
        <v>47</v>
      </c>
      <c r="R155" s="7" t="str">
        <f>IF(Q155="-", "Absent", IF(Q155&gt;=75, "D", IF(Q155&gt;=55, "C", IF(Q155&gt;=35, "S", IF(Q155&gt;=0, "F")))))</f>
        <v>S</v>
      </c>
      <c r="S155" s="7">
        <v>52</v>
      </c>
      <c r="T155" s="7" t="str">
        <f>IF(S155="-", "Absent", IF(S155&gt;=75, "D", IF(S155&gt;=55, "C", IF(S155&gt;=35, "S", IF(S155&gt;=0, "F")))))</f>
        <v>S</v>
      </c>
      <c r="U155" s="7">
        <v>83</v>
      </c>
      <c r="V155" s="7" t="str">
        <f>IF(U155="-", "Absent", IF(U155&gt;=75, "D", IF(U155&gt;=55, "C", IF(U155&gt;=35, "S", IF(U155&gt;=0, "F")))))</f>
        <v>D</v>
      </c>
      <c r="W155" s="7">
        <v>62</v>
      </c>
      <c r="X155" s="7" t="str">
        <f>IF(W155="-", "Absent", IF(W155&gt;=75, "D", IF(W155&gt;=55, "C", IF(W155&gt;=35, "S", IF(W155&gt;=0, "F")))))</f>
        <v>C</v>
      </c>
      <c r="Y155" s="7">
        <v>34</v>
      </c>
      <c r="Z155" s="7" t="str">
        <f>IF(Y155="-", "AB", IF(Y155&gt;=75, "D", IF(Y155&gt;=55, "C", IF(Y155&gt;=35, "S", IF(Y155&gt;=0, "F")))))</f>
        <v>F</v>
      </c>
      <c r="AA155" s="7">
        <f t="shared" si="252"/>
        <v>629</v>
      </c>
      <c r="AB155" s="7" t="str">
        <f t="shared" si="253"/>
        <v>63%</v>
      </c>
      <c r="AC155" s="14" t="s">
        <v>15</v>
      </c>
      <c r="AD155" s="7">
        <v>10</v>
      </c>
      <c r="AE155" s="7">
        <f t="shared" si="259"/>
        <v>2</v>
      </c>
      <c r="AF155" s="7">
        <f t="shared" si="260"/>
        <v>1</v>
      </c>
      <c r="AG155" s="7">
        <f t="shared" si="261"/>
        <v>0</v>
      </c>
      <c r="AH155" s="12"/>
      <c r="AI155" s="14" t="s">
        <v>15</v>
      </c>
      <c r="AJ155" s="7">
        <v>10</v>
      </c>
      <c r="AK155" s="32" t="str">
        <f t="shared" si="262"/>
        <v>Not Completed</v>
      </c>
    </row>
    <row r="156" spans="2:37" ht="27" customHeight="1">
      <c r="B156" s="28">
        <v>149</v>
      </c>
      <c r="C156" s="29" t="s">
        <v>376</v>
      </c>
      <c r="D156" s="30">
        <v>200254200964</v>
      </c>
      <c r="E156" s="4" t="s">
        <v>360</v>
      </c>
      <c r="F156" s="25" t="s">
        <v>479</v>
      </c>
      <c r="G156" s="7">
        <v>47</v>
      </c>
      <c r="H156" s="7" t="str">
        <f t="shared" ref="H156:H159" si="263">IF(G156="-", "Absent", IF(G156&gt;=75, "D", IF(G156&gt;=55, "C", IF(G156&gt;=35, "S", IF(G156&gt;=0, "F")))))</f>
        <v>S</v>
      </c>
      <c r="I156" s="7">
        <v>76</v>
      </c>
      <c r="J156" s="7" t="str">
        <f t="shared" ref="J156:J159" si="264">IF(I156="-", "Absent", IF(I156&gt;=75, "D", IF(I156&gt;=55, "C", IF(I156&gt;=35, "S", IF(I156&gt;=0, "F")))))</f>
        <v>D</v>
      </c>
      <c r="K156" s="7">
        <v>86</v>
      </c>
      <c r="L156" s="7" t="str">
        <f t="shared" ref="L156:L159" si="265">IF(K156="-", "Absent", IF(K156&gt;=75, "D", IF(K156&gt;=55, "C", IF(K156&gt;=35, "S", IF(K156&gt;=0, "F")))))</f>
        <v>D</v>
      </c>
      <c r="M156" s="7">
        <v>65</v>
      </c>
      <c r="N156" s="7" t="str">
        <f t="shared" ref="N156:N159" si="266">IF(M156="-", "Absent", IF(M156&gt;=75, "D", IF(M156&gt;=55, "C", IF(M156&gt;=35, "S", IF(M156&gt;=0, "F")))))</f>
        <v>C</v>
      </c>
      <c r="O156" s="7">
        <v>38</v>
      </c>
      <c r="P156" s="7" t="str">
        <f t="shared" ref="P156:P159" si="267">IF(O156="-", "Absent", IF(O156&gt;=75, "D", IF(O156&gt;=55, "C", IF(O156&gt;=35, "S", IF(O156&gt;=0, "F")))))</f>
        <v>S</v>
      </c>
      <c r="Q156" s="7">
        <v>92</v>
      </c>
      <c r="R156" s="7" t="str">
        <f t="shared" ref="R156:R159" si="268">IF(Q156="-", "Absent", IF(Q156&gt;=75, "D", IF(Q156&gt;=55, "C", IF(Q156&gt;=35, "S", IF(Q156&gt;=0, "F")))))</f>
        <v>D</v>
      </c>
      <c r="S156" s="7">
        <v>69</v>
      </c>
      <c r="T156" s="7" t="str">
        <f t="shared" ref="T156:T159" si="269">IF(S156="-", "Absent", IF(S156&gt;=75, "D", IF(S156&gt;=55, "C", IF(S156&gt;=35, "S", IF(S156&gt;=0, "F")))))</f>
        <v>C</v>
      </c>
      <c r="U156" s="7">
        <v>78</v>
      </c>
      <c r="V156" s="7" t="str">
        <f t="shared" ref="V156:V159" si="270">IF(U156="-", "Absent", IF(U156&gt;=75, "D", IF(U156&gt;=55, "C", IF(U156&gt;=35, "S", IF(U156&gt;=0, "F")))))</f>
        <v>D</v>
      </c>
      <c r="W156" s="7">
        <v>61</v>
      </c>
      <c r="X156" s="7" t="str">
        <f t="shared" ref="X156:X159" si="271">IF(W156="-", "Absent", IF(W156&gt;=75, "D", IF(W156&gt;=55, "C", IF(W156&gt;=35, "S", IF(W156&gt;=0, "F")))))</f>
        <v>C</v>
      </c>
      <c r="Y156" s="7">
        <v>16</v>
      </c>
      <c r="Z156" s="7" t="str">
        <f t="shared" ref="Z156:Z160" si="272">IF(Y156="-", "AB", IF(Y156&gt;=75, "D", IF(Y156&gt;=55, "C", IF(Y156&gt;=35, "S", IF(Y156&gt;=0, "F")))))</f>
        <v>F</v>
      </c>
      <c r="AA156" s="7">
        <f t="shared" si="252"/>
        <v>628</v>
      </c>
      <c r="AB156" s="7" t="str">
        <f t="shared" si="253"/>
        <v>63%</v>
      </c>
      <c r="AC156" s="14" t="s">
        <v>15</v>
      </c>
      <c r="AD156" s="7">
        <v>10</v>
      </c>
      <c r="AE156" s="7">
        <f t="shared" si="259"/>
        <v>1</v>
      </c>
      <c r="AF156" s="7">
        <f t="shared" si="260"/>
        <v>1</v>
      </c>
      <c r="AG156" s="7">
        <f t="shared" si="261"/>
        <v>0</v>
      </c>
      <c r="AH156" s="12"/>
      <c r="AI156" s="14" t="s">
        <v>15</v>
      </c>
      <c r="AJ156" s="7">
        <v>10</v>
      </c>
      <c r="AK156" s="32" t="str">
        <f t="shared" si="262"/>
        <v>Not Completed</v>
      </c>
    </row>
    <row r="157" spans="2:37" ht="27" customHeight="1">
      <c r="B157" s="28">
        <v>150</v>
      </c>
      <c r="C157" s="29" t="s">
        <v>377</v>
      </c>
      <c r="D157" s="30">
        <v>200077301235</v>
      </c>
      <c r="E157" s="4" t="s">
        <v>361</v>
      </c>
      <c r="F157" s="25" t="s">
        <v>479</v>
      </c>
      <c r="G157" s="7">
        <v>37</v>
      </c>
      <c r="H157" s="7" t="str">
        <f t="shared" si="263"/>
        <v>S</v>
      </c>
      <c r="I157" s="7">
        <v>85</v>
      </c>
      <c r="J157" s="7" t="str">
        <f t="shared" si="264"/>
        <v>D</v>
      </c>
      <c r="K157" s="7">
        <v>80</v>
      </c>
      <c r="L157" s="7" t="str">
        <f t="shared" si="265"/>
        <v>D</v>
      </c>
      <c r="M157" s="7">
        <v>73</v>
      </c>
      <c r="N157" s="7" t="str">
        <f t="shared" si="266"/>
        <v>C</v>
      </c>
      <c r="O157" s="7">
        <v>52</v>
      </c>
      <c r="P157" s="7" t="str">
        <f t="shared" si="267"/>
        <v>S</v>
      </c>
      <c r="Q157" s="7">
        <v>74</v>
      </c>
      <c r="R157" s="7" t="str">
        <f t="shared" si="268"/>
        <v>C</v>
      </c>
      <c r="S157" s="7">
        <v>55</v>
      </c>
      <c r="T157" s="7" t="str">
        <f t="shared" si="269"/>
        <v>C</v>
      </c>
      <c r="U157" s="7">
        <v>75</v>
      </c>
      <c r="V157" s="7" t="str">
        <f t="shared" si="270"/>
        <v>D</v>
      </c>
      <c r="W157" s="7">
        <v>54</v>
      </c>
      <c r="X157" s="7" t="str">
        <f t="shared" si="271"/>
        <v>S</v>
      </c>
      <c r="Y157" s="7" t="s">
        <v>6</v>
      </c>
      <c r="Z157" s="7" t="str">
        <f t="shared" si="272"/>
        <v>AB</v>
      </c>
      <c r="AA157" s="7">
        <f t="shared" si="252"/>
        <v>585</v>
      </c>
      <c r="AB157" s="7" t="str">
        <f t="shared" si="253"/>
        <v>59%</v>
      </c>
      <c r="AC157" s="14" t="str">
        <f t="shared" ref="AC157:AC159" si="273">IF(AA157&gt;0, "Not Completed",
   IF(W157=10, "First Class",
      IF(V157&gt;75, IF(Y157&gt;0, "Ordinary Pass", "First Class"),
         IF(V157&gt;65, IF(Y157&gt;0, "Ordinary Pass", "Second Class"),
            IF(V157&lt;65, "Ordinary Pass", "")
         )
      )
   )
)</f>
        <v>Not Completed</v>
      </c>
      <c r="AD157" s="7"/>
      <c r="AE157" s="7">
        <f t="shared" si="259"/>
        <v>2</v>
      </c>
      <c r="AF157" s="7">
        <f t="shared" si="260"/>
        <v>0</v>
      </c>
      <c r="AG157" s="7">
        <f t="shared" si="261"/>
        <v>1</v>
      </c>
      <c r="AH157" s="12"/>
      <c r="AI157" s="14" t="str">
        <f>IF(AG157&gt;0, "Not Completed",
   IF(AC157=10, "First Class",
      IF(AB157&gt;75, IF(AE157&gt;0, "Ordinary Pass", "First Class"),
         IF(AB157&gt;65, IF(AE157&gt;0, "Ordinary Pass", "Second Class"),
            IF(AB157&lt;65, "Ordinary Pass", "")
         )
      )
   )
)</f>
        <v>Not Completed</v>
      </c>
      <c r="AJ157" s="7"/>
      <c r="AK157" s="32" t="str">
        <f t="shared" si="262"/>
        <v>Not Completed</v>
      </c>
    </row>
    <row r="158" spans="2:37" ht="27" customHeight="1">
      <c r="B158" s="28">
        <v>151</v>
      </c>
      <c r="C158" s="29" t="s">
        <v>451</v>
      </c>
      <c r="D158" s="30">
        <v>198971201956</v>
      </c>
      <c r="E158" s="4" t="s">
        <v>362</v>
      </c>
      <c r="F158" s="25" t="s">
        <v>479</v>
      </c>
      <c r="G158" s="7">
        <v>39</v>
      </c>
      <c r="H158" s="7" t="str">
        <f t="shared" si="263"/>
        <v>S</v>
      </c>
      <c r="I158" s="7">
        <v>75</v>
      </c>
      <c r="J158" s="7" t="str">
        <f t="shared" si="264"/>
        <v>D</v>
      </c>
      <c r="K158" s="7">
        <v>73</v>
      </c>
      <c r="L158" s="7" t="str">
        <f t="shared" si="265"/>
        <v>C</v>
      </c>
      <c r="M158" s="7">
        <v>61</v>
      </c>
      <c r="N158" s="7" t="str">
        <f t="shared" si="266"/>
        <v>C</v>
      </c>
      <c r="O158" s="7">
        <v>52</v>
      </c>
      <c r="P158" s="7" t="str">
        <f t="shared" si="267"/>
        <v>S</v>
      </c>
      <c r="Q158" s="7">
        <v>70</v>
      </c>
      <c r="R158" s="7" t="str">
        <f t="shared" si="268"/>
        <v>C</v>
      </c>
      <c r="S158" s="7">
        <v>62</v>
      </c>
      <c r="T158" s="7" t="str">
        <f t="shared" si="269"/>
        <v>C</v>
      </c>
      <c r="U158" s="7">
        <v>66</v>
      </c>
      <c r="V158" s="7" t="str">
        <f t="shared" si="270"/>
        <v>C</v>
      </c>
      <c r="W158" s="7">
        <v>61</v>
      </c>
      <c r="X158" s="7" t="str">
        <f t="shared" si="271"/>
        <v>C</v>
      </c>
      <c r="Y158" s="7" t="s">
        <v>6</v>
      </c>
      <c r="Z158" s="7" t="str">
        <f t="shared" si="272"/>
        <v>AB</v>
      </c>
      <c r="AA158" s="7">
        <f t="shared" si="252"/>
        <v>559</v>
      </c>
      <c r="AB158" s="7" t="str">
        <f t="shared" si="253"/>
        <v>56%</v>
      </c>
      <c r="AC158" s="14" t="str">
        <f t="shared" si="273"/>
        <v>Not Completed</v>
      </c>
      <c r="AD158" s="7"/>
      <c r="AE158" s="7">
        <f t="shared" si="259"/>
        <v>1</v>
      </c>
      <c r="AF158" s="7">
        <f t="shared" si="260"/>
        <v>0</v>
      </c>
      <c r="AG158" s="7">
        <f t="shared" si="261"/>
        <v>1</v>
      </c>
      <c r="AH158" s="12"/>
      <c r="AI158" s="14" t="str">
        <f>IF(AG158&gt;0, "Not Completed",
   IF(AC158=10, "First Class",
      IF(AB158&gt;75, IF(AE158&gt;0, "Ordinary Pass", "First Class"),
         IF(AB158&gt;65, IF(AE158&gt;0, "Ordinary Pass", "Second Class"),
            IF(AB158&lt;65, "Ordinary Pass", "")
         )
      )
   )
)</f>
        <v>Not Completed</v>
      </c>
      <c r="AJ158" s="7"/>
      <c r="AK158" s="32" t="str">
        <f t="shared" si="262"/>
        <v>Not Completed</v>
      </c>
    </row>
    <row r="159" spans="2:37" ht="27" customHeight="1">
      <c r="B159" s="28">
        <v>152</v>
      </c>
      <c r="C159" s="29" t="s">
        <v>378</v>
      </c>
      <c r="D159" s="30" t="s">
        <v>379</v>
      </c>
      <c r="E159" s="4" t="s">
        <v>363</v>
      </c>
      <c r="F159" s="25" t="s">
        <v>479</v>
      </c>
      <c r="G159" s="7">
        <v>54</v>
      </c>
      <c r="H159" s="7" t="str">
        <f t="shared" si="263"/>
        <v>S</v>
      </c>
      <c r="I159" s="7">
        <v>80</v>
      </c>
      <c r="J159" s="7" t="str">
        <f t="shared" si="264"/>
        <v>D</v>
      </c>
      <c r="K159" s="7">
        <v>86</v>
      </c>
      <c r="L159" s="7" t="str">
        <f t="shared" si="265"/>
        <v>D</v>
      </c>
      <c r="M159" s="7">
        <v>64</v>
      </c>
      <c r="N159" s="7" t="str">
        <f t="shared" si="266"/>
        <v>C</v>
      </c>
      <c r="O159" s="7">
        <v>56</v>
      </c>
      <c r="P159" s="7" t="str">
        <f t="shared" si="267"/>
        <v>C</v>
      </c>
      <c r="Q159" s="7">
        <v>84</v>
      </c>
      <c r="R159" s="7" t="str">
        <f t="shared" si="268"/>
        <v>D</v>
      </c>
      <c r="S159" s="7">
        <v>81</v>
      </c>
      <c r="T159" s="7" t="str">
        <f t="shared" si="269"/>
        <v>D</v>
      </c>
      <c r="U159" s="7">
        <v>73</v>
      </c>
      <c r="V159" s="7" t="str">
        <f t="shared" si="270"/>
        <v>C</v>
      </c>
      <c r="W159" s="7">
        <v>53</v>
      </c>
      <c r="X159" s="7" t="str">
        <f t="shared" si="271"/>
        <v>S</v>
      </c>
      <c r="Y159" s="7" t="s">
        <v>6</v>
      </c>
      <c r="Z159" s="7" t="str">
        <f t="shared" si="272"/>
        <v>AB</v>
      </c>
      <c r="AA159" s="7">
        <f t="shared" si="252"/>
        <v>631</v>
      </c>
      <c r="AB159" s="7" t="str">
        <f t="shared" si="253"/>
        <v>63%</v>
      </c>
      <c r="AC159" s="14" t="str">
        <f t="shared" si="273"/>
        <v>Not Completed</v>
      </c>
      <c r="AD159" s="7"/>
      <c r="AE159" s="7">
        <f t="shared" si="259"/>
        <v>1</v>
      </c>
      <c r="AF159" s="7">
        <f t="shared" si="260"/>
        <v>0</v>
      </c>
      <c r="AG159" s="7">
        <f t="shared" si="261"/>
        <v>1</v>
      </c>
      <c r="AH159" s="12"/>
      <c r="AI159" s="14" t="str">
        <f>IF(AG159&gt;0, "Not Completed",
   IF(AC159=10, "First Class",
      IF(AB159&gt;75, IF(AE159&gt;0, "Ordinary Pass", "First Class"),
         IF(AB159&gt;65, IF(AE159&gt;0, "Ordinary Pass", "Second Class"),
            IF(AB159&lt;65, "Ordinary Pass", "")
         )
      )
   )
)</f>
        <v>Not Completed</v>
      </c>
      <c r="AJ159" s="7"/>
      <c r="AK159" s="32" t="str">
        <f t="shared" si="262"/>
        <v>Not Completed</v>
      </c>
    </row>
    <row r="160" spans="2:37" ht="27" customHeight="1">
      <c r="B160" s="28">
        <v>153</v>
      </c>
      <c r="C160" s="29" t="s">
        <v>380</v>
      </c>
      <c r="D160" s="30">
        <v>198463501779</v>
      </c>
      <c r="E160" s="4" t="s">
        <v>364</v>
      </c>
      <c r="F160" s="25" t="s">
        <v>479</v>
      </c>
      <c r="G160" s="7" t="s">
        <v>6</v>
      </c>
      <c r="H160" s="7" t="str">
        <f t="shared" ref="H160:X160" si="274">IF(G160="-", "AB", IF(G160&gt;=75, "D", IF(G160&gt;=55, "C", IF(G160&gt;=35, "S", IF(G160&gt;=0, "F")))))</f>
        <v>AB</v>
      </c>
      <c r="I160" s="7" t="s">
        <v>6</v>
      </c>
      <c r="J160" s="7" t="str">
        <f t="shared" si="274"/>
        <v>AB</v>
      </c>
      <c r="K160" s="7" t="s">
        <v>6</v>
      </c>
      <c r="L160" s="7" t="str">
        <f t="shared" si="274"/>
        <v>AB</v>
      </c>
      <c r="M160" s="7" t="s">
        <v>6</v>
      </c>
      <c r="N160" s="7" t="str">
        <f t="shared" si="274"/>
        <v>AB</v>
      </c>
      <c r="O160" s="7" t="s">
        <v>6</v>
      </c>
      <c r="P160" s="7" t="str">
        <f t="shared" si="274"/>
        <v>AB</v>
      </c>
      <c r="Q160" s="7" t="s">
        <v>6</v>
      </c>
      <c r="R160" s="7" t="str">
        <f t="shared" si="274"/>
        <v>AB</v>
      </c>
      <c r="S160" s="7" t="s">
        <v>6</v>
      </c>
      <c r="T160" s="7" t="str">
        <f t="shared" si="274"/>
        <v>AB</v>
      </c>
      <c r="U160" s="7" t="s">
        <v>6</v>
      </c>
      <c r="V160" s="7" t="str">
        <f t="shared" si="274"/>
        <v>AB</v>
      </c>
      <c r="W160" s="7" t="s">
        <v>6</v>
      </c>
      <c r="X160" s="7" t="str">
        <f t="shared" si="274"/>
        <v>AB</v>
      </c>
      <c r="Y160" s="7" t="s">
        <v>6</v>
      </c>
      <c r="Z160" s="7" t="str">
        <f t="shared" si="272"/>
        <v>AB</v>
      </c>
      <c r="AA160" s="7">
        <f t="shared" si="252"/>
        <v>0</v>
      </c>
      <c r="AB160" s="7" t="str">
        <f t="shared" si="253"/>
        <v>0%</v>
      </c>
      <c r="AC160" s="14" t="s">
        <v>403</v>
      </c>
      <c r="AD160" s="7"/>
      <c r="AE160" s="7">
        <f t="shared" si="259"/>
        <v>0</v>
      </c>
      <c r="AF160" s="7">
        <f t="shared" si="260"/>
        <v>0</v>
      </c>
      <c r="AG160" s="7">
        <f t="shared" si="261"/>
        <v>10</v>
      </c>
      <c r="AH160" s="12"/>
      <c r="AI160" s="14" t="s">
        <v>403</v>
      </c>
      <c r="AJ160" s="7"/>
      <c r="AK160" s="32" t="str">
        <f t="shared" si="262"/>
        <v>Not Completed</v>
      </c>
    </row>
    <row r="161" spans="2:37" ht="27" customHeight="1">
      <c r="B161" s="28">
        <v>154</v>
      </c>
      <c r="C161" s="29" t="s">
        <v>381</v>
      </c>
      <c r="D161" s="30" t="s">
        <v>382</v>
      </c>
      <c r="E161" s="4" t="s">
        <v>365</v>
      </c>
      <c r="F161" s="25" t="s">
        <v>479</v>
      </c>
      <c r="G161" s="7">
        <v>49</v>
      </c>
      <c r="H161" s="7" t="str">
        <f>IF(G161="-", "Absent", IF(G161&gt;=75, "D", IF(G161&gt;=55, "C", IF(G161&gt;=35, "S", IF(G161&gt;=0, "F")))))</f>
        <v>S</v>
      </c>
      <c r="I161" s="7">
        <v>45</v>
      </c>
      <c r="J161" s="7" t="str">
        <f>IF(I161="-", "Absent", IF(I161&gt;=75, "D", IF(I161&gt;=55, "C", IF(I161&gt;=35, "S", IF(I161&gt;=0, "F")))))</f>
        <v>S</v>
      </c>
      <c r="K161" s="7">
        <v>66</v>
      </c>
      <c r="L161" s="7" t="str">
        <f>IF(K161="-", "Absent", IF(K161&gt;=75, "D", IF(K161&gt;=55, "C", IF(K161&gt;=35, "S", IF(K161&gt;=0, "F")))))</f>
        <v>C</v>
      </c>
      <c r="M161" s="7">
        <v>51</v>
      </c>
      <c r="N161" s="7" t="str">
        <f>IF(M161="-", "Absent", IF(M161&gt;=75, "D", IF(M161&gt;=55, "C", IF(M161&gt;=35, "S", IF(M161&gt;=0, "F")))))</f>
        <v>S</v>
      </c>
      <c r="O161" s="7">
        <v>54</v>
      </c>
      <c r="P161" s="7" t="str">
        <f>IF(O161="-", "Absent", IF(O161&gt;=75, "D", IF(O161&gt;=55, "C", IF(O161&gt;=35, "S", IF(O161&gt;=0, "F")))))</f>
        <v>S</v>
      </c>
      <c r="Q161" s="7">
        <v>31</v>
      </c>
      <c r="R161" s="7" t="str">
        <f>IF(Q161="-", "Absent", IF(Q161&gt;=75, "D", IF(Q161&gt;=55, "C", IF(Q161&gt;=35, "S", IF(Q161&gt;=0, "F")))))</f>
        <v>F</v>
      </c>
      <c r="S161" s="7">
        <v>57</v>
      </c>
      <c r="T161" s="7" t="str">
        <f>IF(S161="-", "Absent", IF(S161&gt;=75, "D", IF(S161&gt;=55, "C", IF(S161&gt;=35, "S", IF(S161&gt;=0, "F")))))</f>
        <v>C</v>
      </c>
      <c r="U161" s="7">
        <v>46</v>
      </c>
      <c r="V161" s="7" t="str">
        <f>IF(U161="-", "Absent", IF(U161&gt;=75, "D", IF(U161&gt;=55, "C", IF(U161&gt;=35, "S", IF(U161&gt;=0, "F")))))</f>
        <v>S</v>
      </c>
      <c r="W161" s="7">
        <v>74</v>
      </c>
      <c r="X161" s="7" t="str">
        <f>IF(W161="-", "Absent", IF(W161&gt;=75, "D", IF(W161&gt;=55, "C", IF(W161&gt;=35, "S", IF(W161&gt;=0, "F")))))</f>
        <v>C</v>
      </c>
      <c r="Y161" s="7">
        <v>12</v>
      </c>
      <c r="Z161" s="7" t="str">
        <f>IF(Y161="-", "AB", IF(Y161&gt;=75, "D", IF(Y161&gt;=55, "C", IF(Y161&gt;=35, "S", IF(Y161&gt;=0, "F")))))</f>
        <v>F</v>
      </c>
      <c r="AA161" s="7">
        <f>SUMIF(G161:Z161, "&lt;&gt;AB")</f>
        <v>485</v>
      </c>
      <c r="AB161" s="7" t="str">
        <f>ROUND(AA161/10, 0)&amp;"%"</f>
        <v>49%</v>
      </c>
      <c r="AC161" s="14" t="s">
        <v>15</v>
      </c>
      <c r="AD161" s="7" t="s">
        <v>460</v>
      </c>
      <c r="AE161" s="7">
        <f t="shared" si="259"/>
        <v>4</v>
      </c>
      <c r="AF161" s="7">
        <f t="shared" si="260"/>
        <v>2</v>
      </c>
      <c r="AG161" s="7">
        <f t="shared" si="261"/>
        <v>0</v>
      </c>
      <c r="AH161" s="12"/>
      <c r="AI161" s="14" t="s">
        <v>15</v>
      </c>
      <c r="AJ161" s="7" t="s">
        <v>460</v>
      </c>
      <c r="AK161" s="32" t="str">
        <f t="shared" si="262"/>
        <v>Not Completed</v>
      </c>
    </row>
    <row r="162" spans="2:37" ht="27" customHeight="1">
      <c r="B162" s="28">
        <v>155</v>
      </c>
      <c r="C162" s="29" t="s">
        <v>383</v>
      </c>
      <c r="D162" s="30">
        <v>198963901151</v>
      </c>
      <c r="E162" s="4" t="s">
        <v>366</v>
      </c>
      <c r="F162" s="30" t="s">
        <v>479</v>
      </c>
      <c r="G162" s="7">
        <v>49</v>
      </c>
      <c r="H162" s="7" t="str">
        <f t="shared" ref="H162:H171" si="275">IF(G162="-", "Absent", IF(G162&gt;=75, "D", IF(G162&gt;=55, "C", IF(G162&gt;=35, "S", IF(G162&gt;=0, "F")))))</f>
        <v>S</v>
      </c>
      <c r="I162" s="7">
        <v>82</v>
      </c>
      <c r="J162" s="7" t="str">
        <f t="shared" ref="J162:J171" si="276">IF(I162="-", "Absent", IF(I162&gt;=75, "D", IF(I162&gt;=55, "C", IF(I162&gt;=35, "S", IF(I162&gt;=0, "F")))))</f>
        <v>D</v>
      </c>
      <c r="K162" s="7">
        <v>86</v>
      </c>
      <c r="L162" s="7" t="str">
        <f t="shared" ref="L162:L171" si="277">IF(K162="-", "Absent", IF(K162&gt;=75, "D", IF(K162&gt;=55, "C", IF(K162&gt;=35, "S", IF(K162&gt;=0, "F")))))</f>
        <v>D</v>
      </c>
      <c r="M162" s="7">
        <v>75</v>
      </c>
      <c r="N162" s="7" t="str">
        <f t="shared" ref="N162:N171" si="278">IF(M162="-", "Absent", IF(M162&gt;=75, "D", IF(M162&gt;=55, "C", IF(M162&gt;=35, "S", IF(M162&gt;=0, "F")))))</f>
        <v>D</v>
      </c>
      <c r="O162" s="7">
        <v>49</v>
      </c>
      <c r="P162" s="7" t="str">
        <f>IF(O162="-", "Absent", IF(O162&gt;=75, "D", IF(O162&gt;=55, "C", IF(O162&gt;=35, "S", IF(O162&gt;=0, "F")))))</f>
        <v>S</v>
      </c>
      <c r="Q162" s="7">
        <v>72</v>
      </c>
      <c r="R162" s="7" t="str">
        <f t="shared" ref="R162:R171" si="279">IF(Q162="-", "Absent", IF(Q162&gt;=75, "D", IF(Q162&gt;=55, "C", IF(Q162&gt;=35, "S", IF(Q162&gt;=0, "F")))))</f>
        <v>C</v>
      </c>
      <c r="S162" s="7">
        <v>84</v>
      </c>
      <c r="T162" s="7" t="str">
        <f t="shared" ref="T162:T171" si="280">IF(S162="-", "Absent", IF(S162&gt;=75, "D", IF(S162&gt;=55, "C", IF(S162&gt;=35, "S", IF(S162&gt;=0, "F")))))</f>
        <v>D</v>
      </c>
      <c r="U162" s="7">
        <v>79</v>
      </c>
      <c r="V162" s="7" t="str">
        <f t="shared" ref="V162:V171" si="281">IF(U162="-", "Absent", IF(U162&gt;=75, "D", IF(U162&gt;=55, "C", IF(U162&gt;=35, "S", IF(U162&gt;=0, "F")))))</f>
        <v>D</v>
      </c>
      <c r="W162" s="7">
        <v>70</v>
      </c>
      <c r="X162" s="7" t="str">
        <f t="shared" ref="X162:X171" si="282">IF(W162="-", "Absent", IF(W162&gt;=75, "D", IF(W162&gt;=55, "C", IF(W162&gt;=35, "S", IF(W162&gt;=0, "F")))))</f>
        <v>C</v>
      </c>
      <c r="Y162" s="7">
        <v>29</v>
      </c>
      <c r="Z162" s="7" t="str">
        <f t="shared" ref="Z162:Z173" si="283">IF(Y162="-", "AB", IF(Y162&gt;=75, "D", IF(Y162&gt;=55, "C", IF(Y162&gt;=35, "S", IF(Y162&gt;=0, "F")))))</f>
        <v>F</v>
      </c>
      <c r="AA162" s="7">
        <f t="shared" ref="AA162:AA171" si="284">SUMIF(G162:Z162, "&lt;&gt;AB")</f>
        <v>675</v>
      </c>
      <c r="AB162" s="7" t="str">
        <f t="shared" ref="AB162:AB173" si="285">ROUND(AA162/10, 0)&amp;"%"</f>
        <v>68%</v>
      </c>
      <c r="AC162" s="14" t="s">
        <v>15</v>
      </c>
      <c r="AD162" s="7">
        <v>10</v>
      </c>
      <c r="AE162" s="7">
        <f t="shared" si="259"/>
        <v>1</v>
      </c>
      <c r="AF162" s="7">
        <f t="shared" si="260"/>
        <v>1</v>
      </c>
      <c r="AG162" s="7">
        <f t="shared" si="261"/>
        <v>0</v>
      </c>
      <c r="AH162" s="12"/>
      <c r="AI162" s="14" t="s">
        <v>15</v>
      </c>
      <c r="AJ162" s="7">
        <v>10</v>
      </c>
      <c r="AK162" s="32" t="str">
        <f t="shared" si="262"/>
        <v>Not Completed</v>
      </c>
    </row>
    <row r="163" spans="2:37" ht="27" customHeight="1">
      <c r="B163" s="28">
        <v>156</v>
      </c>
      <c r="C163" s="29" t="s">
        <v>384</v>
      </c>
      <c r="D163" s="30">
        <v>198159701310</v>
      </c>
      <c r="E163" s="4" t="s">
        <v>367</v>
      </c>
      <c r="F163" s="30" t="s">
        <v>479</v>
      </c>
      <c r="G163" s="7">
        <v>45</v>
      </c>
      <c r="H163" s="7" t="str">
        <f t="shared" si="275"/>
        <v>S</v>
      </c>
      <c r="I163" s="7">
        <v>81</v>
      </c>
      <c r="J163" s="7" t="str">
        <f t="shared" si="276"/>
        <v>D</v>
      </c>
      <c r="K163" s="7">
        <v>76</v>
      </c>
      <c r="L163" s="7" t="str">
        <f t="shared" si="277"/>
        <v>D</v>
      </c>
      <c r="M163" s="7">
        <v>55</v>
      </c>
      <c r="N163" s="7" t="str">
        <f t="shared" si="278"/>
        <v>C</v>
      </c>
      <c r="O163" s="7">
        <v>44</v>
      </c>
      <c r="P163" s="7" t="str">
        <f t="shared" ref="P163:P171" si="286">IF(O163="-", "Absent", IF(O163&gt;=75, "D", IF(O163&gt;=55, "C", IF(O163&gt;=35, "S", IF(O163&gt;=0, "F")))))</f>
        <v>S</v>
      </c>
      <c r="Q163" s="7">
        <v>91</v>
      </c>
      <c r="R163" s="7" t="str">
        <f t="shared" si="279"/>
        <v>D</v>
      </c>
      <c r="S163" s="7">
        <v>84</v>
      </c>
      <c r="T163" s="7" t="str">
        <f t="shared" si="280"/>
        <v>D</v>
      </c>
      <c r="U163" s="7">
        <v>76</v>
      </c>
      <c r="V163" s="7" t="str">
        <f t="shared" si="281"/>
        <v>D</v>
      </c>
      <c r="W163" s="7">
        <v>59</v>
      </c>
      <c r="X163" s="7" t="str">
        <f t="shared" si="282"/>
        <v>C</v>
      </c>
      <c r="Y163" s="7">
        <v>52</v>
      </c>
      <c r="Z163" s="7" t="str">
        <f t="shared" si="283"/>
        <v>S</v>
      </c>
      <c r="AA163" s="7">
        <f t="shared" si="284"/>
        <v>663</v>
      </c>
      <c r="AB163" s="7" t="str">
        <f t="shared" si="285"/>
        <v>66%</v>
      </c>
      <c r="AC163" s="14" t="s">
        <v>454</v>
      </c>
      <c r="AD163" s="7"/>
      <c r="AE163" s="7">
        <f t="shared" si="259"/>
        <v>2</v>
      </c>
      <c r="AF163" s="7">
        <f t="shared" si="260"/>
        <v>0</v>
      </c>
      <c r="AG163" s="7">
        <f t="shared" si="261"/>
        <v>0</v>
      </c>
      <c r="AH163" s="12"/>
      <c r="AI163" s="14" t="s">
        <v>454</v>
      </c>
      <c r="AJ163" s="7"/>
      <c r="AK163" s="32" t="str">
        <f t="shared" si="262"/>
        <v>Not Completed</v>
      </c>
    </row>
    <row r="164" spans="2:37" ht="27" customHeight="1">
      <c r="B164" s="28">
        <v>157</v>
      </c>
      <c r="C164" s="29" t="s">
        <v>385</v>
      </c>
      <c r="D164" s="30" t="s">
        <v>386</v>
      </c>
      <c r="E164" s="4" t="s">
        <v>368</v>
      </c>
      <c r="F164" s="30" t="s">
        <v>479</v>
      </c>
      <c r="G164" s="7">
        <v>52</v>
      </c>
      <c r="H164" s="7" t="str">
        <f t="shared" si="275"/>
        <v>S</v>
      </c>
      <c r="I164" s="7">
        <v>72</v>
      </c>
      <c r="J164" s="7" t="str">
        <f t="shared" si="276"/>
        <v>C</v>
      </c>
      <c r="K164" s="7">
        <v>77</v>
      </c>
      <c r="L164" s="7" t="str">
        <f t="shared" si="277"/>
        <v>D</v>
      </c>
      <c r="M164" s="7">
        <v>62</v>
      </c>
      <c r="N164" s="7" t="str">
        <f t="shared" si="278"/>
        <v>C</v>
      </c>
      <c r="O164" s="7">
        <v>46</v>
      </c>
      <c r="P164" s="7" t="str">
        <f t="shared" si="286"/>
        <v>S</v>
      </c>
      <c r="Q164" s="7">
        <v>72</v>
      </c>
      <c r="R164" s="7" t="str">
        <f t="shared" si="279"/>
        <v>C</v>
      </c>
      <c r="S164" s="7">
        <v>88</v>
      </c>
      <c r="T164" s="7" t="str">
        <f t="shared" si="280"/>
        <v>D</v>
      </c>
      <c r="U164" s="7">
        <v>78</v>
      </c>
      <c r="V164" s="7" t="str">
        <f t="shared" si="281"/>
        <v>D</v>
      </c>
      <c r="W164" s="7">
        <v>69</v>
      </c>
      <c r="X164" s="7" t="str">
        <f t="shared" si="282"/>
        <v>C</v>
      </c>
      <c r="Y164" s="7">
        <v>28</v>
      </c>
      <c r="Z164" s="7" t="str">
        <f t="shared" si="283"/>
        <v>F</v>
      </c>
      <c r="AA164" s="7">
        <f t="shared" si="284"/>
        <v>644</v>
      </c>
      <c r="AB164" s="7" t="str">
        <f t="shared" si="285"/>
        <v>64%</v>
      </c>
      <c r="AC164" s="14" t="s">
        <v>15</v>
      </c>
      <c r="AD164" s="7">
        <v>10</v>
      </c>
      <c r="AE164" s="7">
        <f t="shared" si="259"/>
        <v>1</v>
      </c>
      <c r="AF164" s="7">
        <f t="shared" si="260"/>
        <v>1</v>
      </c>
      <c r="AG164" s="7">
        <f t="shared" si="261"/>
        <v>0</v>
      </c>
      <c r="AH164" s="12"/>
      <c r="AI164" s="14" t="s">
        <v>15</v>
      </c>
      <c r="AJ164" s="7">
        <v>10</v>
      </c>
      <c r="AK164" s="32" t="str">
        <f t="shared" si="262"/>
        <v>Not Completed</v>
      </c>
    </row>
    <row r="165" spans="2:37" ht="27" customHeight="1">
      <c r="B165" s="28">
        <v>158</v>
      </c>
      <c r="C165" s="29" t="s">
        <v>387</v>
      </c>
      <c r="D165" s="30">
        <v>198159601943</v>
      </c>
      <c r="E165" s="4" t="s">
        <v>369</v>
      </c>
      <c r="F165" s="30" t="s">
        <v>479</v>
      </c>
      <c r="G165" s="7">
        <v>47</v>
      </c>
      <c r="H165" s="7" t="str">
        <f t="shared" si="275"/>
        <v>S</v>
      </c>
      <c r="I165" s="7">
        <v>75</v>
      </c>
      <c r="J165" s="7" t="str">
        <f t="shared" si="276"/>
        <v>D</v>
      </c>
      <c r="K165" s="7">
        <v>78</v>
      </c>
      <c r="L165" s="7" t="str">
        <f t="shared" si="277"/>
        <v>D</v>
      </c>
      <c r="M165" s="7">
        <v>61</v>
      </c>
      <c r="N165" s="7" t="str">
        <f t="shared" si="278"/>
        <v>C</v>
      </c>
      <c r="O165" s="7">
        <v>44</v>
      </c>
      <c r="P165" s="7" t="str">
        <f t="shared" si="286"/>
        <v>S</v>
      </c>
      <c r="Q165" s="7" t="s">
        <v>6</v>
      </c>
      <c r="R165" s="7" t="str">
        <f t="shared" ref="R165:X165" si="287">IF(Q165="-", "AB", IF(Q165&gt;=75, "D", IF(Q165&gt;=55, "C", IF(Q165&gt;=35, "S", IF(Q165&gt;=0, "F")))))</f>
        <v>AB</v>
      </c>
      <c r="S165" s="7" t="s">
        <v>6</v>
      </c>
      <c r="T165" s="7" t="str">
        <f t="shared" si="287"/>
        <v>AB</v>
      </c>
      <c r="U165" s="7" t="s">
        <v>6</v>
      </c>
      <c r="V165" s="7" t="str">
        <f t="shared" si="287"/>
        <v>AB</v>
      </c>
      <c r="W165" s="7" t="s">
        <v>6</v>
      </c>
      <c r="X165" s="7" t="str">
        <f t="shared" si="287"/>
        <v>AB</v>
      </c>
      <c r="Y165" s="7" t="s">
        <v>6</v>
      </c>
      <c r="Z165" s="7" t="str">
        <f t="shared" si="283"/>
        <v>AB</v>
      </c>
      <c r="AA165" s="7">
        <f t="shared" si="284"/>
        <v>305</v>
      </c>
      <c r="AB165" s="7" t="str">
        <f t="shared" si="285"/>
        <v>31%</v>
      </c>
      <c r="AC165" s="14" t="str">
        <f t="shared" ref="AC165" si="288">IF(AA165&gt;0, "Not Completed",
   IF(W165=10, "First Class",
      IF(V165&gt;75, IF(Y165&gt;0, "Ordinary Pass", "First Class"),
         IF(V165&gt;65, IF(Y165&gt;0, "Ordinary Pass", "Second Class"),
            IF(V165&lt;65, "Ordinary Pass", "")
         )
      )
   )
)</f>
        <v>Not Completed</v>
      </c>
      <c r="AD165" s="7"/>
      <c r="AE165" s="7">
        <f t="shared" si="259"/>
        <v>1</v>
      </c>
      <c r="AF165" s="7">
        <f t="shared" si="260"/>
        <v>0</v>
      </c>
      <c r="AG165" s="7">
        <f t="shared" si="261"/>
        <v>5</v>
      </c>
      <c r="AH165" s="12"/>
      <c r="AI165" s="14" t="str">
        <f>IF(AG165&gt;0, "Not Completed",
   IF(AC165=10, "First Class",
      IF(AB165&gt;75, IF(AE165&gt;0, "Ordinary Pass", "First Class"),
         IF(AB165&gt;65, IF(AE165&gt;0, "Ordinary Pass", "Second Class"),
            IF(AB165&lt;65, "Ordinary Pass", "")
         )
      )
   )
)</f>
        <v>Not Completed</v>
      </c>
      <c r="AJ165" s="7"/>
      <c r="AK165" s="32" t="str">
        <f t="shared" si="262"/>
        <v>Not Completed</v>
      </c>
    </row>
    <row r="166" spans="2:37" ht="27" customHeight="1">
      <c r="B166" s="28">
        <v>159</v>
      </c>
      <c r="C166" s="29" t="s">
        <v>452</v>
      </c>
      <c r="D166" s="30" t="s">
        <v>388</v>
      </c>
      <c r="E166" s="4" t="s">
        <v>370</v>
      </c>
      <c r="F166" s="30" t="s">
        <v>479</v>
      </c>
      <c r="G166" s="7">
        <v>49</v>
      </c>
      <c r="H166" s="7" t="str">
        <f t="shared" si="275"/>
        <v>S</v>
      </c>
      <c r="I166" s="7">
        <v>76</v>
      </c>
      <c r="J166" s="7" t="str">
        <f t="shared" si="276"/>
        <v>D</v>
      </c>
      <c r="K166" s="7">
        <v>85</v>
      </c>
      <c r="L166" s="7" t="str">
        <f t="shared" si="277"/>
        <v>D</v>
      </c>
      <c r="M166" s="7">
        <v>71</v>
      </c>
      <c r="N166" s="7" t="str">
        <f t="shared" si="278"/>
        <v>C</v>
      </c>
      <c r="O166" s="7">
        <v>53</v>
      </c>
      <c r="P166" s="7" t="str">
        <f t="shared" si="286"/>
        <v>S</v>
      </c>
      <c r="Q166" s="7">
        <v>48</v>
      </c>
      <c r="R166" s="7" t="str">
        <f t="shared" si="279"/>
        <v>S</v>
      </c>
      <c r="S166" s="7">
        <v>66</v>
      </c>
      <c r="T166" s="7" t="str">
        <f t="shared" si="280"/>
        <v>C</v>
      </c>
      <c r="U166" s="7">
        <v>54</v>
      </c>
      <c r="V166" s="7" t="str">
        <f t="shared" si="281"/>
        <v>S</v>
      </c>
      <c r="W166" s="7">
        <v>68</v>
      </c>
      <c r="X166" s="7" t="str">
        <f t="shared" si="282"/>
        <v>C</v>
      </c>
      <c r="Y166" s="7">
        <v>43</v>
      </c>
      <c r="Z166" s="7" t="str">
        <f t="shared" si="283"/>
        <v>S</v>
      </c>
      <c r="AA166" s="7">
        <f t="shared" si="284"/>
        <v>613</v>
      </c>
      <c r="AB166" s="7" t="str">
        <f t="shared" si="285"/>
        <v>61%</v>
      </c>
      <c r="AC166" s="14" t="s">
        <v>454</v>
      </c>
      <c r="AD166" s="7"/>
      <c r="AE166" s="7">
        <f t="shared" si="259"/>
        <v>4</v>
      </c>
      <c r="AF166" s="7">
        <f t="shared" si="260"/>
        <v>0</v>
      </c>
      <c r="AG166" s="7">
        <f t="shared" si="261"/>
        <v>0</v>
      </c>
      <c r="AH166" s="12"/>
      <c r="AI166" s="14" t="str">
        <f>IF(AG166&gt;0, "Not Completed",
   IF(AC166=10, "First Class",
      IF(AB166&gt;75, IF(AE166&gt;0, "Ordinary Pass", "First Class"),
         IF(AB166&gt;65, IF(AE166&gt;0, "Ordinary Pass", "Second Class"),
            IF(AB166&lt;65, "Ordinary Pass", "")
         )
      )
   )
)</f>
        <v>Ordinary Pass</v>
      </c>
      <c r="AJ166" s="7"/>
      <c r="AK166" s="32" t="str">
        <f t="shared" si="262"/>
        <v>Not Completed</v>
      </c>
    </row>
    <row r="167" spans="2:37" ht="27" customHeight="1">
      <c r="B167" s="28">
        <v>160</v>
      </c>
      <c r="C167" s="29" t="s">
        <v>389</v>
      </c>
      <c r="D167" s="30" t="s">
        <v>390</v>
      </c>
      <c r="E167" s="4" t="s">
        <v>371</v>
      </c>
      <c r="F167" s="30" t="s">
        <v>479</v>
      </c>
      <c r="G167" s="7">
        <v>40</v>
      </c>
      <c r="H167" s="7" t="str">
        <f t="shared" si="275"/>
        <v>S</v>
      </c>
      <c r="I167" s="7">
        <v>84</v>
      </c>
      <c r="J167" s="7" t="str">
        <f t="shared" si="276"/>
        <v>D</v>
      </c>
      <c r="K167" s="7">
        <v>85</v>
      </c>
      <c r="L167" s="7" t="str">
        <f t="shared" si="277"/>
        <v>D</v>
      </c>
      <c r="M167" s="7">
        <v>66</v>
      </c>
      <c r="N167" s="7" t="str">
        <f t="shared" si="278"/>
        <v>C</v>
      </c>
      <c r="O167" s="7">
        <v>42</v>
      </c>
      <c r="P167" s="7" t="str">
        <f t="shared" si="286"/>
        <v>S</v>
      </c>
      <c r="Q167" s="7">
        <v>57</v>
      </c>
      <c r="R167" s="7" t="str">
        <f t="shared" si="279"/>
        <v>C</v>
      </c>
      <c r="S167" s="7">
        <v>77</v>
      </c>
      <c r="T167" s="7" t="str">
        <f t="shared" si="280"/>
        <v>D</v>
      </c>
      <c r="U167" s="7">
        <v>83</v>
      </c>
      <c r="V167" s="7" t="str">
        <f t="shared" si="281"/>
        <v>D</v>
      </c>
      <c r="W167" s="7">
        <v>72</v>
      </c>
      <c r="X167" s="7" t="str">
        <f t="shared" si="282"/>
        <v>C</v>
      </c>
      <c r="Y167" s="7">
        <v>15</v>
      </c>
      <c r="Z167" s="7" t="str">
        <f t="shared" si="283"/>
        <v>F</v>
      </c>
      <c r="AA167" s="7">
        <f t="shared" si="284"/>
        <v>621</v>
      </c>
      <c r="AB167" s="7" t="str">
        <f t="shared" si="285"/>
        <v>62%</v>
      </c>
      <c r="AC167" s="14" t="s">
        <v>15</v>
      </c>
      <c r="AD167" s="7">
        <v>10</v>
      </c>
      <c r="AE167" s="7">
        <f t="shared" si="259"/>
        <v>1</v>
      </c>
      <c r="AF167" s="7">
        <f t="shared" si="260"/>
        <v>1</v>
      </c>
      <c r="AG167" s="7">
        <f t="shared" si="261"/>
        <v>0</v>
      </c>
      <c r="AH167" s="12"/>
      <c r="AI167" s="14" t="s">
        <v>15</v>
      </c>
      <c r="AJ167" s="7">
        <v>10</v>
      </c>
      <c r="AK167" s="32" t="str">
        <f t="shared" si="262"/>
        <v>Not Completed</v>
      </c>
    </row>
    <row r="168" spans="2:37" ht="27" customHeight="1">
      <c r="B168" s="28">
        <v>161</v>
      </c>
      <c r="C168" s="29" t="s">
        <v>391</v>
      </c>
      <c r="D168" s="30" t="s">
        <v>392</v>
      </c>
      <c r="E168" s="4" t="s">
        <v>372</v>
      </c>
      <c r="F168" s="30" t="s">
        <v>479</v>
      </c>
      <c r="G168" s="7">
        <v>47</v>
      </c>
      <c r="H168" s="7" t="str">
        <f t="shared" si="275"/>
        <v>S</v>
      </c>
      <c r="I168" s="7">
        <v>59</v>
      </c>
      <c r="J168" s="7" t="str">
        <f t="shared" si="276"/>
        <v>C</v>
      </c>
      <c r="K168" s="7">
        <v>69</v>
      </c>
      <c r="L168" s="7" t="str">
        <f t="shared" si="277"/>
        <v>C</v>
      </c>
      <c r="M168" s="7">
        <v>49</v>
      </c>
      <c r="N168" s="7" t="str">
        <f t="shared" si="278"/>
        <v>S</v>
      </c>
      <c r="O168" s="7">
        <v>40</v>
      </c>
      <c r="P168" s="7" t="str">
        <f t="shared" si="286"/>
        <v>S</v>
      </c>
      <c r="Q168" s="7">
        <v>36</v>
      </c>
      <c r="R168" s="7" t="str">
        <f t="shared" si="279"/>
        <v>S</v>
      </c>
      <c r="S168" s="7">
        <v>72</v>
      </c>
      <c r="T168" s="7" t="str">
        <f t="shared" si="280"/>
        <v>C</v>
      </c>
      <c r="U168" s="7">
        <v>76</v>
      </c>
      <c r="V168" s="7" t="str">
        <f t="shared" si="281"/>
        <v>D</v>
      </c>
      <c r="W168" s="7">
        <v>65</v>
      </c>
      <c r="X168" s="7" t="str">
        <f t="shared" si="282"/>
        <v>C</v>
      </c>
      <c r="Y168" s="7">
        <v>20</v>
      </c>
      <c r="Z168" s="7" t="str">
        <f t="shared" si="283"/>
        <v>F</v>
      </c>
      <c r="AA168" s="7">
        <f t="shared" si="284"/>
        <v>533</v>
      </c>
      <c r="AB168" s="7" t="str">
        <f t="shared" si="285"/>
        <v>53%</v>
      </c>
      <c r="AC168" s="14" t="s">
        <v>15</v>
      </c>
      <c r="AD168" s="7">
        <v>10</v>
      </c>
      <c r="AE168" s="7">
        <f t="shared" si="259"/>
        <v>3</v>
      </c>
      <c r="AF168" s="7">
        <f t="shared" si="260"/>
        <v>1</v>
      </c>
      <c r="AG168" s="7">
        <f t="shared" si="261"/>
        <v>0</v>
      </c>
      <c r="AH168" s="12"/>
      <c r="AI168" s="14" t="s">
        <v>15</v>
      </c>
      <c r="AJ168" s="7">
        <v>10</v>
      </c>
      <c r="AK168" s="32" t="str">
        <f t="shared" si="262"/>
        <v>Not Completed</v>
      </c>
    </row>
    <row r="169" spans="2:37" ht="27" customHeight="1">
      <c r="B169" s="28">
        <v>162</v>
      </c>
      <c r="C169" s="29" t="s">
        <v>393</v>
      </c>
      <c r="D169" s="30" t="s">
        <v>394</v>
      </c>
      <c r="E169" s="4" t="s">
        <v>373</v>
      </c>
      <c r="F169" s="30" t="s">
        <v>479</v>
      </c>
      <c r="G169" s="7">
        <v>56</v>
      </c>
      <c r="H169" s="7" t="str">
        <f t="shared" si="275"/>
        <v>C</v>
      </c>
      <c r="I169" s="7">
        <v>63</v>
      </c>
      <c r="J169" s="7" t="str">
        <f t="shared" si="276"/>
        <v>C</v>
      </c>
      <c r="K169" s="7">
        <v>67</v>
      </c>
      <c r="L169" s="7" t="str">
        <f t="shared" si="277"/>
        <v>C</v>
      </c>
      <c r="M169" s="7">
        <v>61</v>
      </c>
      <c r="N169" s="7" t="str">
        <f t="shared" si="278"/>
        <v>C</v>
      </c>
      <c r="O169" s="7">
        <v>49</v>
      </c>
      <c r="P169" s="7" t="str">
        <f t="shared" si="286"/>
        <v>S</v>
      </c>
      <c r="Q169" s="7">
        <v>50</v>
      </c>
      <c r="R169" s="7" t="str">
        <f t="shared" si="279"/>
        <v>S</v>
      </c>
      <c r="S169" s="7">
        <v>33</v>
      </c>
      <c r="T169" s="7" t="str">
        <f t="shared" si="280"/>
        <v>F</v>
      </c>
      <c r="U169" s="7">
        <v>68</v>
      </c>
      <c r="V169" s="7" t="str">
        <f t="shared" si="281"/>
        <v>C</v>
      </c>
      <c r="W169" s="7">
        <v>74</v>
      </c>
      <c r="X169" s="7" t="str">
        <f t="shared" si="282"/>
        <v>C</v>
      </c>
      <c r="Y169" s="7">
        <v>37</v>
      </c>
      <c r="Z169" s="7" t="str">
        <f t="shared" si="283"/>
        <v>S</v>
      </c>
      <c r="AA169" s="7">
        <f t="shared" si="284"/>
        <v>558</v>
      </c>
      <c r="AB169" s="7" t="str">
        <f t="shared" si="285"/>
        <v>56%</v>
      </c>
      <c r="AC169" s="14" t="s">
        <v>15</v>
      </c>
      <c r="AD169" s="7">
        <v>7</v>
      </c>
      <c r="AE169" s="7">
        <f t="shared" si="259"/>
        <v>3</v>
      </c>
      <c r="AF169" s="7">
        <f t="shared" si="260"/>
        <v>1</v>
      </c>
      <c r="AG169" s="7">
        <f t="shared" si="261"/>
        <v>0</v>
      </c>
      <c r="AH169" s="12"/>
      <c r="AI169" s="14" t="s">
        <v>15</v>
      </c>
      <c r="AJ169" s="7">
        <v>7</v>
      </c>
      <c r="AK169" s="32" t="str">
        <f t="shared" si="262"/>
        <v>Not Completed</v>
      </c>
    </row>
    <row r="170" spans="2:37" ht="27" customHeight="1">
      <c r="B170" s="28">
        <v>163</v>
      </c>
      <c r="C170" s="29" t="s">
        <v>395</v>
      </c>
      <c r="D170" s="30">
        <v>198454601740</v>
      </c>
      <c r="E170" s="4" t="s">
        <v>374</v>
      </c>
      <c r="F170" s="30" t="s">
        <v>479</v>
      </c>
      <c r="G170" s="7">
        <v>47</v>
      </c>
      <c r="H170" s="7" t="str">
        <f t="shared" si="275"/>
        <v>S</v>
      </c>
      <c r="I170" s="7">
        <v>72</v>
      </c>
      <c r="J170" s="7" t="str">
        <f t="shared" si="276"/>
        <v>C</v>
      </c>
      <c r="K170" s="7">
        <v>82</v>
      </c>
      <c r="L170" s="7" t="str">
        <f t="shared" si="277"/>
        <v>D</v>
      </c>
      <c r="M170" s="7">
        <v>42</v>
      </c>
      <c r="N170" s="7" t="str">
        <f t="shared" si="278"/>
        <v>S</v>
      </c>
      <c r="O170" s="7">
        <v>36</v>
      </c>
      <c r="P170" s="7" t="str">
        <f t="shared" si="286"/>
        <v>S</v>
      </c>
      <c r="Q170" s="7">
        <v>72</v>
      </c>
      <c r="R170" s="7" t="str">
        <f t="shared" si="279"/>
        <v>C</v>
      </c>
      <c r="S170" s="7">
        <v>67</v>
      </c>
      <c r="T170" s="7" t="str">
        <f t="shared" si="280"/>
        <v>C</v>
      </c>
      <c r="U170" s="7">
        <v>72</v>
      </c>
      <c r="V170" s="7" t="str">
        <f t="shared" si="281"/>
        <v>C</v>
      </c>
      <c r="W170" s="7">
        <v>51</v>
      </c>
      <c r="X170" s="7" t="str">
        <f t="shared" si="282"/>
        <v>S</v>
      </c>
      <c r="Y170" s="7">
        <v>54</v>
      </c>
      <c r="Z170" s="7" t="str">
        <f t="shared" si="283"/>
        <v>S</v>
      </c>
      <c r="AA170" s="7">
        <f t="shared" si="284"/>
        <v>595</v>
      </c>
      <c r="AB170" s="7" t="str">
        <f t="shared" si="285"/>
        <v>60%</v>
      </c>
      <c r="AC170" s="14" t="s">
        <v>454</v>
      </c>
      <c r="AD170" s="7"/>
      <c r="AE170" s="7">
        <f t="shared" si="259"/>
        <v>4</v>
      </c>
      <c r="AF170" s="7">
        <f t="shared" si="260"/>
        <v>0</v>
      </c>
      <c r="AG170" s="7">
        <f t="shared" si="261"/>
        <v>0</v>
      </c>
      <c r="AH170" s="12"/>
      <c r="AI170" s="14" t="str">
        <f>IF(AG170&gt;0, "Not Completed",
   IF(AC170=10, "First Class",
      IF(AB170&gt;75, IF(AE170&gt;0, "Ordinary Pass", "First Class"),
         IF(AB170&gt;65, IF(AE170&gt;0, "Ordinary Pass", "Second Class"),
            IF(AB170&lt;65, "Ordinary Pass", "")
         )
      )
   )
)</f>
        <v>Ordinary Pass</v>
      </c>
      <c r="AJ170" s="7"/>
      <c r="AK170" s="32" t="str">
        <f t="shared" si="262"/>
        <v>Not Completed</v>
      </c>
    </row>
    <row r="171" spans="2:37" ht="27" customHeight="1">
      <c r="B171" s="28">
        <v>164</v>
      </c>
      <c r="C171" s="29" t="s">
        <v>396</v>
      </c>
      <c r="D171" s="30" t="s">
        <v>397</v>
      </c>
      <c r="E171" s="4" t="s">
        <v>375</v>
      </c>
      <c r="F171" s="30" t="s">
        <v>479</v>
      </c>
      <c r="G171" s="7">
        <v>53</v>
      </c>
      <c r="H171" s="7" t="str">
        <f t="shared" si="275"/>
        <v>S</v>
      </c>
      <c r="I171" s="7">
        <v>77</v>
      </c>
      <c r="J171" s="7" t="str">
        <f t="shared" si="276"/>
        <v>D</v>
      </c>
      <c r="K171" s="7">
        <v>81</v>
      </c>
      <c r="L171" s="7" t="str">
        <f t="shared" si="277"/>
        <v>D</v>
      </c>
      <c r="M171" s="7">
        <v>67</v>
      </c>
      <c r="N171" s="7" t="str">
        <f t="shared" si="278"/>
        <v>C</v>
      </c>
      <c r="O171" s="7">
        <v>43</v>
      </c>
      <c r="P171" s="7" t="str">
        <f t="shared" si="286"/>
        <v>S</v>
      </c>
      <c r="Q171" s="7">
        <v>74</v>
      </c>
      <c r="R171" s="7" t="str">
        <f t="shared" si="279"/>
        <v>C</v>
      </c>
      <c r="S171" s="7">
        <v>72</v>
      </c>
      <c r="T171" s="7" t="str">
        <f t="shared" si="280"/>
        <v>C</v>
      </c>
      <c r="U171" s="7">
        <v>67</v>
      </c>
      <c r="V171" s="7" t="str">
        <f t="shared" si="281"/>
        <v>C</v>
      </c>
      <c r="W171" s="7">
        <v>68</v>
      </c>
      <c r="X171" s="7" t="str">
        <f t="shared" si="282"/>
        <v>C</v>
      </c>
      <c r="Y171" s="7">
        <v>41</v>
      </c>
      <c r="Z171" s="7" t="str">
        <f t="shared" si="283"/>
        <v>S</v>
      </c>
      <c r="AA171" s="7">
        <f t="shared" si="284"/>
        <v>643</v>
      </c>
      <c r="AB171" s="7" t="str">
        <f t="shared" si="285"/>
        <v>64%</v>
      </c>
      <c r="AC171" s="14" t="s">
        <v>454</v>
      </c>
      <c r="AD171" s="7"/>
      <c r="AE171" s="7">
        <f t="shared" si="259"/>
        <v>2</v>
      </c>
      <c r="AF171" s="7">
        <f t="shared" si="260"/>
        <v>0</v>
      </c>
      <c r="AG171" s="7">
        <f t="shared" si="261"/>
        <v>0</v>
      </c>
      <c r="AH171" s="12"/>
      <c r="AI171" s="14" t="str">
        <f>IF(AG171&gt;0, "Not Completed",
   IF(AC171=10, "First Class",
      IF(AB171&gt;75, IF(AE171&gt;0, "Ordinary Pass", "First Class"),
         IF(AB171&gt;65, IF(AE171&gt;0, "Ordinary Pass", "Second Class"),
            IF(AB171&lt;65, "Ordinary Pass", "")
         )
      )
   )
)</f>
        <v>Ordinary Pass</v>
      </c>
      <c r="AJ171" s="7"/>
      <c r="AK171" s="32" t="str">
        <f t="shared" si="262"/>
        <v>Not Completed</v>
      </c>
    </row>
    <row r="172" spans="2:37" ht="27" customHeight="1">
      <c r="B172" s="28">
        <v>165</v>
      </c>
      <c r="C172" s="29" t="s">
        <v>398</v>
      </c>
      <c r="D172" s="41">
        <v>198685601211</v>
      </c>
      <c r="E172" s="4" t="s">
        <v>399</v>
      </c>
      <c r="F172" s="30" t="s">
        <v>479</v>
      </c>
      <c r="G172" s="7">
        <v>56</v>
      </c>
      <c r="H172" s="7" t="str">
        <f>IF(G172="-", "Absent", IF(G172&gt;=75, "D", IF(G172&gt;=55, "C", IF(G172&gt;=35, "S", IF(G172&gt;=0, "F")))))</f>
        <v>C</v>
      </c>
      <c r="I172" s="7">
        <v>71</v>
      </c>
      <c r="J172" s="7" t="str">
        <f>IF(I172="-", "Absent", IF(I172&gt;=75, "D", IF(I172&gt;=55, "C", IF(I172&gt;=35, "S", IF(I172&gt;=0, "F")))))</f>
        <v>C</v>
      </c>
      <c r="K172" s="7">
        <v>82</v>
      </c>
      <c r="L172" s="7" t="str">
        <f>IF(K172="-", "Absent", IF(K172&gt;=75, "D", IF(K172&gt;=55, "C", IF(K172&gt;=35, "S", IF(K172&gt;=0, "F")))))</f>
        <v>D</v>
      </c>
      <c r="M172" s="7">
        <v>53</v>
      </c>
      <c r="N172" s="7" t="str">
        <f>IF(M172="-", "Absent", IF(M172&gt;=75, "D", IF(M172&gt;=55, "C", IF(M172&gt;=35, "S", IF(M172&gt;=0, "F")))))</f>
        <v>S</v>
      </c>
      <c r="O172" s="7">
        <v>51</v>
      </c>
      <c r="P172" s="7" t="str">
        <f>IF(O172="-", "Absent", IF(O172&gt;=75, "D", IF(O172&gt;=55, "C", IF(O172&gt;=35, "S", IF(O172&gt;=0, "F")))))</f>
        <v>S</v>
      </c>
      <c r="Q172" s="7">
        <v>65</v>
      </c>
      <c r="R172" s="7" t="str">
        <f>IF(Q172="-", "Absent", IF(Q172&gt;=75, "D", IF(Q172&gt;=55, "C", IF(Q172&gt;=35, "S", IF(Q172&gt;=0, "F")))))</f>
        <v>C</v>
      </c>
      <c r="S172" s="7">
        <v>74</v>
      </c>
      <c r="T172" s="7" t="str">
        <f>IF(S172="-", "Absent", IF(S172&gt;=75, "D", IF(S172&gt;=55, "C", IF(S172&gt;=35, "S", IF(S172&gt;=0, "F")))))</f>
        <v>C</v>
      </c>
      <c r="U172" s="7">
        <v>75</v>
      </c>
      <c r="V172" s="7" t="str">
        <f>IF(U172="-", "Absent", IF(U172&gt;=75, "D", IF(U172&gt;=55, "C", IF(U172&gt;=35, "S", IF(U172&gt;=0, "F")))))</f>
        <v>D</v>
      </c>
      <c r="W172" s="7">
        <v>62</v>
      </c>
      <c r="X172" s="7" t="str">
        <f>IF(W172="-", "Absent", IF(W172&gt;=75, "D", IF(W172&gt;=55, "C", IF(W172&gt;=35, "S", IF(W172&gt;=0, "F")))))</f>
        <v>C</v>
      </c>
      <c r="Y172" s="7">
        <v>58</v>
      </c>
      <c r="Z172" s="7" t="str">
        <f t="shared" si="283"/>
        <v>C</v>
      </c>
      <c r="AA172" s="7">
        <f>SUMIF(G172:Z172, "&lt;&gt;AB")</f>
        <v>647</v>
      </c>
      <c r="AB172" s="7" t="str">
        <f t="shared" si="285"/>
        <v>65%</v>
      </c>
      <c r="AC172" s="14" t="s">
        <v>454</v>
      </c>
      <c r="AD172" s="7"/>
      <c r="AE172" s="7">
        <f t="shared" si="259"/>
        <v>2</v>
      </c>
      <c r="AF172" s="7">
        <f t="shared" si="260"/>
        <v>0</v>
      </c>
      <c r="AG172" s="7">
        <f t="shared" si="261"/>
        <v>0</v>
      </c>
      <c r="AH172" s="12"/>
      <c r="AI172" s="14" t="str">
        <f>IF(AG172&gt;0, "Not Completed",
   IF(AC172=10, "First Class",
      IF(AB172&gt;75, IF(AE172&gt;0, "Ordinary Pass", "First Class"),
         IF(AB172&gt;65, IF(AE172&gt;0, "Ordinary Pass", "Second Class"),
            IF(AB172&lt;65, "Ordinary Pass", "")
         )
      )
   )
)</f>
        <v>Ordinary Pass</v>
      </c>
      <c r="AJ172" s="7"/>
      <c r="AK172" s="32" t="str">
        <f t="shared" si="262"/>
        <v>Not Completed</v>
      </c>
    </row>
    <row r="173" spans="2:37" ht="27" customHeight="1">
      <c r="B173" s="28">
        <v>166</v>
      </c>
      <c r="C173" s="29" t="s">
        <v>401</v>
      </c>
      <c r="D173" s="42" t="s">
        <v>402</v>
      </c>
      <c r="E173" s="4" t="s">
        <v>400</v>
      </c>
      <c r="F173" s="30" t="s">
        <v>479</v>
      </c>
      <c r="G173" s="7">
        <v>62</v>
      </c>
      <c r="H173" s="7" t="str">
        <f>IF(G173="-", "Absent", IF(G173&gt;=75, "D", IF(G173&gt;=55, "C", IF(G173&gt;=35, "S", IF(G173&gt;=0, "F")))))</f>
        <v>C</v>
      </c>
      <c r="I173" s="7">
        <v>74</v>
      </c>
      <c r="J173" s="7" t="str">
        <f>IF(I173="-", "Absent", IF(I173&gt;=75, "D", IF(I173&gt;=55, "C", IF(I173&gt;=35, "S", IF(I173&gt;=0, "F")))))</f>
        <v>C</v>
      </c>
      <c r="K173" s="7">
        <v>86</v>
      </c>
      <c r="L173" s="7" t="str">
        <f>IF(K173="-", "Absent", IF(K173&gt;=75, "D", IF(K173&gt;=55, "C", IF(K173&gt;=35, "S", IF(K173&gt;=0, "F")))))</f>
        <v>D</v>
      </c>
      <c r="M173" s="7">
        <v>64</v>
      </c>
      <c r="N173" s="7" t="str">
        <f>IF(M173="-", "Absent", IF(M173&gt;=75, "D", IF(M173&gt;=55, "C", IF(M173&gt;=35, "S", IF(M173&gt;=0, "F")))))</f>
        <v>C</v>
      </c>
      <c r="O173" s="7">
        <v>66</v>
      </c>
      <c r="P173" s="7" t="str">
        <f>IF(O173="-", "Absent", IF(O173&gt;=75, "D", IF(O173&gt;=55, "C", IF(O173&gt;=35, "S", IF(O173&gt;=0, "F")))))</f>
        <v>C</v>
      </c>
      <c r="Q173" s="7">
        <v>64</v>
      </c>
      <c r="R173" s="7" t="str">
        <f>IF(Q173="-", "Absent", IF(Q173&gt;=75, "D", IF(Q173&gt;=55, "C", IF(Q173&gt;=35, "S", IF(Q173&gt;=0, "F")))))</f>
        <v>C</v>
      </c>
      <c r="S173" s="7">
        <v>78</v>
      </c>
      <c r="T173" s="7" t="str">
        <f>IF(S173="-", "Absent", IF(S173&gt;=75, "D", IF(S173&gt;=55, "C", IF(S173&gt;=35, "S", IF(S173&gt;=0, "F")))))</f>
        <v>D</v>
      </c>
      <c r="U173" s="7">
        <v>83</v>
      </c>
      <c r="V173" s="7" t="str">
        <f>IF(U173="-", "Absent", IF(U173&gt;=75, "D", IF(U173&gt;=55, "C", IF(U173&gt;=35, "S", IF(U173&gt;=0, "F")))))</f>
        <v>D</v>
      </c>
      <c r="W173" s="7">
        <v>79</v>
      </c>
      <c r="X173" s="7" t="str">
        <f>IF(W173="-", "Absent", IF(W173&gt;=75, "D", IF(W173&gt;=55, "C", IF(W173&gt;=35, "S", IF(W173&gt;=0, "F")))))</f>
        <v>D</v>
      </c>
      <c r="Y173" s="7">
        <v>45</v>
      </c>
      <c r="Z173" s="7" t="str">
        <f t="shared" si="283"/>
        <v>S</v>
      </c>
      <c r="AA173" s="7">
        <f>SUMIF(G173:Z173, "&lt;&gt;AB")</f>
        <v>701</v>
      </c>
      <c r="AB173" s="7" t="str">
        <f t="shared" si="285"/>
        <v>70%</v>
      </c>
      <c r="AC173" s="14" t="s">
        <v>454</v>
      </c>
      <c r="AD173" s="7"/>
      <c r="AE173" s="7">
        <f t="shared" si="259"/>
        <v>1</v>
      </c>
      <c r="AF173" s="7">
        <f t="shared" si="260"/>
        <v>0</v>
      </c>
      <c r="AG173" s="7">
        <f t="shared" si="261"/>
        <v>0</v>
      </c>
      <c r="AH173" s="12"/>
      <c r="AI173" s="14" t="str">
        <f>IF(AG173&gt;0, "Not Completed",
   IF(AC173=10, "First Class",
      IF(AB173&gt;75, IF(AE173&gt;0, "Ordinary Pass", "First Class"),
         IF(AB173&gt;65, IF(AE173&gt;0, "Ordinary Pass", "Second Class"),
            IF(AB173&lt;65, "Ordinary Pass", "")
         )
      )
   )
)</f>
        <v>Ordinary Pass</v>
      </c>
      <c r="AJ173" s="7"/>
      <c r="AK173" s="32" t="str">
        <f t="shared" si="262"/>
        <v>Not Completed</v>
      </c>
    </row>
  </sheetData>
  <mergeCells count="24">
    <mergeCell ref="Y6:Z6"/>
    <mergeCell ref="AA6:AA7"/>
    <mergeCell ref="AB6:AB7"/>
    <mergeCell ref="B6:B7"/>
    <mergeCell ref="C6:C7"/>
    <mergeCell ref="D6:D7"/>
    <mergeCell ref="E6:E7"/>
    <mergeCell ref="F6:F7"/>
    <mergeCell ref="AE6:AI6"/>
    <mergeCell ref="AD6:AD7"/>
    <mergeCell ref="AC6:AC7"/>
    <mergeCell ref="A2:AE2"/>
    <mergeCell ref="A3:AE3"/>
    <mergeCell ref="A5:AE5"/>
    <mergeCell ref="A4:AE4"/>
    <mergeCell ref="G6:H6"/>
    <mergeCell ref="I6:J6"/>
    <mergeCell ref="K6:L6"/>
    <mergeCell ref="M6:N6"/>
    <mergeCell ref="O6:P6"/>
    <mergeCell ref="Q6:R6"/>
    <mergeCell ref="S6:T6"/>
    <mergeCell ref="U6:V6"/>
    <mergeCell ref="W6:X6"/>
  </mergeCells>
  <pageMargins left="0.25" right="0.25" top="0.75" bottom="0.5" header="0.3" footer="0.5"/>
  <pageSetup paperSize="8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Centers</vt:lpstr>
      <vt:lpstr>'All Centers'!Print_Titles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</dc:creator>
  <cp:lastModifiedBy>Nf 1085</cp:lastModifiedBy>
  <cp:lastPrinted>2025-08-13T10:01:53Z</cp:lastPrinted>
  <dcterms:created xsi:type="dcterms:W3CDTF">2015-06-05T18:17:20Z</dcterms:created>
  <dcterms:modified xsi:type="dcterms:W3CDTF">2026-07-21T08:30:38Z</dcterms:modified>
</cp:coreProperties>
</file>