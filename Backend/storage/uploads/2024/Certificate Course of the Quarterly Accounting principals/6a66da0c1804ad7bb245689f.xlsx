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91969B4-38C0-4C5E-8CFF-CE81806219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Result sheet" sheetId="2" r:id="rId1"/>
  </sheets>
  <definedNames>
    <definedName name="_xlnm.Print_Titles" localSheetId="0">'final Result sheet'!$1:$6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2" l="1"/>
  <c r="H42" i="2" s="1"/>
  <c r="G43" i="2"/>
  <c r="H43" i="2" s="1"/>
  <c r="G44" i="2"/>
  <c r="H44" i="2" s="1"/>
  <c r="G41" i="2"/>
  <c r="H41" i="2" s="1"/>
  <c r="H61" i="2" l="1"/>
  <c r="G60" i="2"/>
  <c r="H60" i="2" s="1"/>
  <c r="H59" i="2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H48" i="2"/>
  <c r="G47" i="2"/>
  <c r="H47" i="2" s="1"/>
  <c r="G46" i="2"/>
  <c r="H46" i="2" s="1"/>
  <c r="H40" i="2"/>
  <c r="H39" i="2"/>
  <c r="G38" i="2"/>
  <c r="H38" i="2" s="1"/>
  <c r="G37" i="2"/>
  <c r="H37" i="2" s="1"/>
  <c r="G36" i="2"/>
  <c r="H36" i="2" s="1"/>
  <c r="G35" i="2"/>
  <c r="H35" i="2" s="1"/>
  <c r="H34" i="2"/>
  <c r="H33" i="2"/>
  <c r="G32" i="2"/>
  <c r="H32" i="2" s="1"/>
  <c r="G31" i="2"/>
  <c r="H31" i="2" s="1"/>
  <c r="G30" i="2"/>
  <c r="H30" i="2" s="1"/>
  <c r="G29" i="2"/>
  <c r="H29" i="2" s="1"/>
  <c r="H28" i="2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H20" i="2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H10" i="2"/>
  <c r="G9" i="2"/>
  <c r="H9" i="2" s="1"/>
  <c r="H8" i="2"/>
  <c r="G7" i="2"/>
  <c r="H7" i="2" s="1"/>
</calcChain>
</file>

<file path=xl/sharedStrings.xml><?xml version="1.0" encoding="utf-8"?>
<sst xmlns="http://schemas.openxmlformats.org/spreadsheetml/2006/main" count="197" uniqueCount="163">
  <si>
    <t>24/AC/001</t>
  </si>
  <si>
    <t>847252502 v</t>
  </si>
  <si>
    <t>24/AC/002</t>
  </si>
  <si>
    <t>AB</t>
  </si>
  <si>
    <t>24/AC/003</t>
  </si>
  <si>
    <t>7981806149 v</t>
  </si>
  <si>
    <t>24/AC/004</t>
  </si>
  <si>
    <t>907621510 v</t>
  </si>
  <si>
    <t>24/AC/005</t>
  </si>
  <si>
    <t>886972555 v</t>
  </si>
  <si>
    <t>24/AC/006</t>
  </si>
  <si>
    <t>927300591 v</t>
  </si>
  <si>
    <t>24/AC/007</t>
  </si>
  <si>
    <t>708451932.v</t>
  </si>
  <si>
    <t>24/AC/008</t>
  </si>
  <si>
    <t>987650842 v</t>
  </si>
  <si>
    <t>24/AC/009</t>
  </si>
  <si>
    <t>24/AC/010</t>
  </si>
  <si>
    <t>985681287 v</t>
  </si>
  <si>
    <t>24/AC/011</t>
  </si>
  <si>
    <t>24/AC/012</t>
  </si>
  <si>
    <t>24/AC/013</t>
  </si>
  <si>
    <t>24/AC/014</t>
  </si>
  <si>
    <t>956333733 v</t>
  </si>
  <si>
    <t>24/AC/015</t>
  </si>
  <si>
    <t>857702751 v</t>
  </si>
  <si>
    <t>24/AC/017</t>
  </si>
  <si>
    <t>716571114 v</t>
  </si>
  <si>
    <t>24/AC/018</t>
  </si>
  <si>
    <t>24/AC/019</t>
  </si>
  <si>
    <t>24/AC/020</t>
  </si>
  <si>
    <t>885100848 v</t>
  </si>
  <si>
    <t>24/AC/021</t>
  </si>
  <si>
    <t>24/AC/022</t>
  </si>
  <si>
    <t>24/AC/023</t>
  </si>
  <si>
    <t>778063310 v</t>
  </si>
  <si>
    <t>24/AC/024</t>
  </si>
  <si>
    <t>24/AC/025</t>
  </si>
  <si>
    <t>8460403358 v</t>
  </si>
  <si>
    <t>24/AC/026</t>
  </si>
  <si>
    <t>825780041 v</t>
  </si>
  <si>
    <t>24/AC/027</t>
  </si>
  <si>
    <t>885431186 v</t>
  </si>
  <si>
    <t>24/AC/028</t>
  </si>
  <si>
    <t>936100961 v</t>
  </si>
  <si>
    <t>24/AC/029</t>
  </si>
  <si>
    <t>955790464 v</t>
  </si>
  <si>
    <t>24/AC/030</t>
  </si>
  <si>
    <t>935830141 v</t>
  </si>
  <si>
    <t>24/AC/031</t>
  </si>
  <si>
    <t>832493627 v</t>
  </si>
  <si>
    <t>24/AC/032</t>
  </si>
  <si>
    <t>24/AC/033</t>
  </si>
  <si>
    <t>905902601 v</t>
  </si>
  <si>
    <t>24/AC/034</t>
  </si>
  <si>
    <t>836991303 v</t>
  </si>
  <si>
    <t>24/AC/035</t>
  </si>
  <si>
    <t>24/AC/041</t>
  </si>
  <si>
    <t>24/AC/042</t>
  </si>
  <si>
    <t>916041748 v</t>
  </si>
  <si>
    <t>24/AC/043</t>
  </si>
  <si>
    <t>865632177 v</t>
  </si>
  <si>
    <t>24/AC/044</t>
  </si>
  <si>
    <t>857550714 v</t>
  </si>
  <si>
    <t>24/AC/045</t>
  </si>
  <si>
    <t>978172610 v</t>
  </si>
  <si>
    <t>24/AC/046</t>
  </si>
  <si>
    <t>988161225 v</t>
  </si>
  <si>
    <t>24/AC/047</t>
  </si>
  <si>
    <t>9351317150v</t>
  </si>
  <si>
    <t>24/AC/048</t>
  </si>
  <si>
    <t>24/AC/049</t>
  </si>
  <si>
    <t>877020134 v</t>
  </si>
  <si>
    <t>24/AC/050</t>
  </si>
  <si>
    <t>24/AC/051</t>
  </si>
  <si>
    <t>846693726 v</t>
  </si>
  <si>
    <t>24/AC/052</t>
  </si>
  <si>
    <t>935730430 v</t>
  </si>
  <si>
    <t>24/AC/053</t>
  </si>
  <si>
    <t>728200430 v</t>
  </si>
  <si>
    <t>24/AC/054</t>
  </si>
  <si>
    <t>24/AC/055</t>
  </si>
  <si>
    <t>967011762 v</t>
  </si>
  <si>
    <t>24/AC/056</t>
  </si>
  <si>
    <t>857503775 v</t>
  </si>
  <si>
    <t>Total Marks</t>
  </si>
  <si>
    <t>Index No</t>
  </si>
  <si>
    <t>ID NO</t>
  </si>
  <si>
    <t>Grade</t>
  </si>
  <si>
    <t>-</t>
  </si>
  <si>
    <t>National Co-operative Council of Sri Lanka</t>
  </si>
  <si>
    <t>Result Sheet</t>
  </si>
  <si>
    <t>Name</t>
  </si>
  <si>
    <t>Dayana Sampath Darshani Vidana Pathirana</t>
  </si>
  <si>
    <t>Herath Mudiyanselage Chandani Piyasili Wijerathna</t>
  </si>
  <si>
    <t>Bandanage Ayodya Jinanjalee Chandrathilaka</t>
  </si>
  <si>
    <t>Wanninayaka Mudiyanselage Darshika Hemamali   Wanninayaka</t>
  </si>
  <si>
    <t>Herath Pathirannehelage Ganga Kavindi</t>
  </si>
  <si>
    <t>Polwaththa Liyanadewage Samalka Nimani</t>
  </si>
  <si>
    <t>Senadhi Pathirana Dhanarathna Menike</t>
  </si>
  <si>
    <t>Mahawaduge Shashini Imesha Perera</t>
  </si>
  <si>
    <t>Wadu Thanthrige Dinesha Shyamali</t>
  </si>
  <si>
    <t>Dombagahawaththe Hemali Susanthika Jayarathna</t>
  </si>
  <si>
    <t>Gallage Nirushi Bhagya Rajarathna</t>
  </si>
  <si>
    <t>Athugal pedilage Milani Danushka Dharmadasa</t>
  </si>
  <si>
    <t>Nagasinha Kumarannehelage Harshani Shamila Nagasinha</t>
  </si>
  <si>
    <t>Rathnayaka Mudiyanselage Sumedha Darshika Wijerathna</t>
  </si>
  <si>
    <t>Arachchillage Thamara Chandani</t>
  </si>
  <si>
    <t>Gamamedagedara Lakmini Kumari Karunathilaka</t>
  </si>
  <si>
    <t>Dissanayaka Mudiyanselage Gayani Chandika Dissanayaka</t>
  </si>
  <si>
    <t>Senarath Weerakoonlage Amara Piyasili</t>
  </si>
  <si>
    <t>Alahakoon Appuhmilage Niluka Deepani Alahakon</t>
  </si>
  <si>
    <t>Alankara Dewage Madhuri Tecla Kumari</t>
  </si>
  <si>
    <t>Galaudage Nilmini Jayanthi Jayasekara</t>
  </si>
  <si>
    <t>Hetti Appuhamilage Sulochana Lakmali</t>
  </si>
  <si>
    <t>Thuyiyadure Dinusha Damayanthi</t>
  </si>
  <si>
    <t>Wickramasekara Heellage Ravisha Chalani</t>
  </si>
  <si>
    <t>Koku Hannadige Aruna Eranda</t>
  </si>
  <si>
    <t>Thebiliya Godage Sithara Dilhari</t>
  </si>
  <si>
    <t>Mirihana Arachchige Anoma Jayasingha</t>
  </si>
  <si>
    <t>Pathirana Mudiyanselage Purnima Diwyangani  Rathnayaka</t>
  </si>
  <si>
    <t>Suriyahetti Adhinari Mudiyanselage Priyangika Kamani Suriyahetti</t>
  </si>
  <si>
    <t>Neketh Kiyannalage Nirosha Chamari Karunarathna</t>
  </si>
  <si>
    <t>Idamgodage Dilusha Harshani</t>
  </si>
  <si>
    <t>Dingiri Dewayalage Dushani Susanthika Wimalasiri</t>
  </si>
  <si>
    <t>Pihilla Waththe Gedara Dilshani Buddhika Priyadarshani Wijesuriya</t>
  </si>
  <si>
    <t>Tikiri Bandalage Nirodha Wishwanthi</t>
  </si>
  <si>
    <t>Waththayalage Nimmi Priyangika Somasiri</t>
  </si>
  <si>
    <t xml:space="preserve">Kekulawala Jayawardhana Arachchilage Hansi Samadara Sathsarani </t>
  </si>
  <si>
    <t>Weerappulige Thushari Gunarathna</t>
  </si>
  <si>
    <t>Watapotha Kosinnage Sunethra Malkanthi</t>
  </si>
  <si>
    <t>Samarakon Liyanage Sanjeewa Kavishka Chandrarathna</t>
  </si>
  <si>
    <t>Rathnayaka Mudiyanselage Lakshani Dilki Dissanayaka</t>
  </si>
  <si>
    <t>Gamaralalage Anusha Shyamali Gamlath</t>
  </si>
  <si>
    <t>Chandrasekara Dissanayaka Adhikari Mudiyanselage  Nisansala      Swarnamali Chandrasekara</t>
  </si>
  <si>
    <t>Certificate Course of the Quarterly Accounting principals   - Acadamic Year  2024</t>
  </si>
  <si>
    <t>No</t>
  </si>
  <si>
    <t>1st Paper Marks</t>
  </si>
  <si>
    <t>2nd Paper Marks</t>
  </si>
  <si>
    <r>
      <rPr>
        <b/>
        <sz val="11"/>
        <rFont val="Times New Roman"/>
        <family val="1"/>
      </rPr>
      <t>(75 &gt; = A  -  Distinction), (65 -74  = B  -  Very Good Pass),</t>
    </r>
    <r>
      <rPr>
        <b/>
        <sz val="11"/>
        <rFont val="DL-Paras.."/>
      </rPr>
      <t xml:space="preserve"> </t>
    </r>
    <r>
      <rPr>
        <b/>
        <sz val="11"/>
        <rFont val="Times New Roman"/>
        <family val="1"/>
      </rPr>
      <t>(55-64  = C  - Credit Pass), (45-54  =  S  - Ordinary Pass), (44&lt;</t>
    </r>
    <r>
      <rPr>
        <b/>
        <sz val="11"/>
        <rFont val="DL-Paras.."/>
      </rPr>
      <t xml:space="preserve"> </t>
    </r>
    <r>
      <rPr>
        <b/>
        <sz val="11"/>
        <rFont val="Times New Roman"/>
        <family val="1"/>
      </rPr>
      <t>F -  Failure)</t>
    </r>
  </si>
  <si>
    <t>Ranhawadi Gedara Udeni Buddhika Jayasingha</t>
  </si>
  <si>
    <t>24/AC/036</t>
  </si>
  <si>
    <t>858442451 v</t>
  </si>
  <si>
    <t>Thewara Thanthrige Achini Sasika</t>
  </si>
  <si>
    <t>24/AC/037</t>
  </si>
  <si>
    <t>828493590 v</t>
  </si>
  <si>
    <t>Wickramaarachchi Anusha Jayanandani Wickramaarachchi</t>
  </si>
  <si>
    <t>24/AC/038</t>
  </si>
  <si>
    <t>Manik Mudiyanselage Wathsala Rukmali Jayathilaka</t>
  </si>
  <si>
    <t>24/AC/039</t>
  </si>
  <si>
    <t>925163090 v</t>
  </si>
  <si>
    <t>Ekanayaka Mudiyanselage Thulani Ekanayaka</t>
  </si>
  <si>
    <t>24/AC/040</t>
  </si>
  <si>
    <t>918652353 v</t>
  </si>
  <si>
    <t>Absent</t>
  </si>
  <si>
    <t>Welle Kankanamge Sujani Sagarika</t>
  </si>
  <si>
    <t>Buddhika Kumari Jayakody</t>
  </si>
  <si>
    <t>Balasooriya Mudiyanselage Nadeera Balasooriya</t>
  </si>
  <si>
    <t>Kodippili Arachchige Dona Shanika Mihirani</t>
  </si>
  <si>
    <t>Aswaddume Gedara Edirisingha Mudiyanselage Nirandani Kumari Ekanayaka</t>
  </si>
  <si>
    <t>Babaranda Guruge Wasana Lakmali</t>
  </si>
  <si>
    <t>Dissanayaka Mudiyansela Helapita Gedara Ayesha Maduwanthi Dissanayaka</t>
  </si>
  <si>
    <t>Senanayaka Mohotti Appuhamillage Shanthi Thushara Siromini Kumari Senanayaka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</si>
</sst>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DL-Paras.."/>
    </font>
    <font>
      <b/>
      <sz val="11"/>
      <color indexed="8"/>
      <name val="DL-Paras.."/>
    </font>
    <font>
      <b/>
      <sz val="11"/>
      <color theme="1"/>
      <name val="DL-Paras..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1"/>
      <name val="DL-Paras..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57150</xdr:rowOff>
    </xdr:from>
    <xdr:to>
      <xdr:col>1</xdr:col>
      <xdr:colOff>1104724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57150"/>
          <a:ext cx="657049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activeCell="B24" sqref="B24"/>
    </sheetView>
  </sheetViews>
  <sheetFormatPr defaultRowHeight="15.75"/>
  <cols>
    <col min="1" max="1" width="4.5703125" style="5" customWidth="1"/>
    <col min="2" max="2" width="62.140625" style="5" customWidth="1"/>
    <col min="3" max="3" width="12.42578125" style="5" customWidth="1"/>
    <col min="4" max="4" width="15.7109375" style="6" customWidth="1"/>
    <col min="5" max="5" width="8" style="4" customWidth="1"/>
    <col min="6" max="6" width="7.7109375" style="4" customWidth="1"/>
    <col min="7" max="7" width="7.85546875" style="4" customWidth="1"/>
    <col min="8" max="8" width="9" style="19" customWidth="1"/>
    <col min="9" max="16384" width="9.140625" style="4"/>
  </cols>
  <sheetData>
    <row r="1" spans="1:16" s="7" customFormat="1" ht="24.6" customHeight="1">
      <c r="A1" s="32" t="s">
        <v>90</v>
      </c>
      <c r="B1" s="32"/>
      <c r="C1" s="32"/>
      <c r="D1" s="32"/>
      <c r="E1" s="32"/>
      <c r="F1" s="32"/>
      <c r="G1" s="32"/>
      <c r="H1" s="32"/>
      <c r="I1" s="20"/>
      <c r="J1" s="13"/>
      <c r="K1" s="13"/>
      <c r="L1" s="13"/>
      <c r="M1" s="8"/>
      <c r="N1" s="8"/>
      <c r="P1" s="9"/>
    </row>
    <row r="2" spans="1:16" s="7" customFormat="1" ht="15.6" customHeight="1">
      <c r="A2" s="33" t="s">
        <v>135</v>
      </c>
      <c r="B2" s="34"/>
      <c r="C2" s="34"/>
      <c r="D2" s="34"/>
      <c r="E2" s="34"/>
      <c r="F2" s="34"/>
      <c r="G2" s="34"/>
      <c r="H2" s="34"/>
      <c r="I2" s="21"/>
      <c r="J2" s="14"/>
      <c r="K2" s="14"/>
      <c r="L2" s="14"/>
      <c r="M2" s="8"/>
      <c r="N2" s="8"/>
      <c r="P2" s="9"/>
    </row>
    <row r="3" spans="1:16" s="7" customFormat="1" ht="15.6" customHeight="1">
      <c r="A3" s="34" t="s">
        <v>91</v>
      </c>
      <c r="B3" s="34"/>
      <c r="C3" s="34"/>
      <c r="D3" s="34"/>
      <c r="E3" s="34"/>
      <c r="F3" s="34"/>
      <c r="G3" s="34"/>
      <c r="H3" s="34"/>
      <c r="I3" s="21"/>
      <c r="J3" s="15"/>
      <c r="K3" s="15"/>
      <c r="L3" s="15"/>
      <c r="M3" s="8"/>
      <c r="N3" s="8"/>
      <c r="P3" s="9"/>
    </row>
    <row r="4" spans="1:16" s="11" customFormat="1" ht="32.25" customHeight="1">
      <c r="A4" s="35" t="s">
        <v>139</v>
      </c>
      <c r="B4" s="35"/>
      <c r="C4" s="35"/>
      <c r="D4" s="35"/>
      <c r="E4" s="35"/>
      <c r="F4" s="35"/>
      <c r="G4" s="35"/>
      <c r="H4" s="35"/>
      <c r="I4" s="22"/>
      <c r="J4" s="16"/>
      <c r="K4" s="16"/>
      <c r="L4" s="16"/>
      <c r="M4" s="10"/>
      <c r="N4" s="10"/>
      <c r="P4" s="12"/>
    </row>
    <row r="5" spans="1:16" s="11" customFormat="1" ht="15" customHeight="1">
      <c r="A5" s="36"/>
      <c r="B5" s="36"/>
      <c r="C5" s="36"/>
      <c r="D5" s="36"/>
      <c r="E5" s="36"/>
      <c r="F5" s="36"/>
      <c r="G5" s="36"/>
      <c r="H5" s="36"/>
      <c r="I5" s="22"/>
      <c r="J5" s="16"/>
      <c r="K5" s="16"/>
      <c r="L5" s="16"/>
      <c r="M5" s="10"/>
      <c r="N5" s="10"/>
      <c r="P5" s="12"/>
    </row>
    <row r="6" spans="1:16" s="29" customFormat="1" ht="47.25" customHeight="1">
      <c r="A6" s="18" t="s">
        <v>136</v>
      </c>
      <c r="B6" s="18" t="s">
        <v>92</v>
      </c>
      <c r="C6" s="26" t="s">
        <v>86</v>
      </c>
      <c r="D6" s="27" t="s">
        <v>87</v>
      </c>
      <c r="E6" s="28" t="s">
        <v>137</v>
      </c>
      <c r="F6" s="28" t="s">
        <v>138</v>
      </c>
      <c r="G6" s="28" t="s">
        <v>85</v>
      </c>
      <c r="H6" s="28" t="s">
        <v>88</v>
      </c>
    </row>
    <row r="7" spans="1:16" ht="15.6" customHeight="1">
      <c r="A7" s="2">
        <v>1</v>
      </c>
      <c r="B7" s="23" t="s">
        <v>93</v>
      </c>
      <c r="C7" s="17" t="s">
        <v>0</v>
      </c>
      <c r="D7" s="1" t="s">
        <v>1</v>
      </c>
      <c r="E7" s="3">
        <v>45</v>
      </c>
      <c r="F7" s="3">
        <v>7</v>
      </c>
      <c r="G7" s="3">
        <f>SUM(E7:F7)</f>
        <v>52</v>
      </c>
      <c r="H7" s="30" t="str">
        <f t="shared" ref="H7:H61" si="0">IF(G7="-", "Absent", IF(G7&gt;=75, "A", IF(G7&gt;=65, "B", IF(G7&gt;=55, "C", IF(G7&gt;=44,"S",IF(G7&gt;=0, "F"))))))</f>
        <v>S</v>
      </c>
    </row>
    <row r="8" spans="1:16" ht="16.5" customHeight="1">
      <c r="A8" s="2">
        <v>2</v>
      </c>
      <c r="B8" s="23" t="s">
        <v>94</v>
      </c>
      <c r="C8" s="17" t="s">
        <v>2</v>
      </c>
      <c r="D8" s="1">
        <v>198168900160</v>
      </c>
      <c r="E8" s="3" t="s">
        <v>3</v>
      </c>
      <c r="F8" s="3" t="s">
        <v>3</v>
      </c>
      <c r="G8" s="3" t="s">
        <v>89</v>
      </c>
      <c r="H8" s="18" t="str">
        <f t="shared" si="0"/>
        <v>Absent</v>
      </c>
    </row>
    <row r="9" spans="1:16" ht="18.75">
      <c r="A9" s="2">
        <v>3</v>
      </c>
      <c r="B9" s="23" t="s">
        <v>95</v>
      </c>
      <c r="C9" s="17" t="s">
        <v>4</v>
      </c>
      <c r="D9" s="1" t="s">
        <v>5</v>
      </c>
      <c r="E9" s="3">
        <v>19</v>
      </c>
      <c r="F9" s="3">
        <v>36</v>
      </c>
      <c r="G9" s="3">
        <f t="shared" ref="G9:G60" si="1">SUM(E9:F9)</f>
        <v>55</v>
      </c>
      <c r="H9" s="30" t="str">
        <f t="shared" si="0"/>
        <v>C</v>
      </c>
    </row>
    <row r="10" spans="1:16">
      <c r="A10" s="2">
        <v>4</v>
      </c>
      <c r="B10" s="23" t="s">
        <v>97</v>
      </c>
      <c r="C10" s="17" t="s">
        <v>6</v>
      </c>
      <c r="D10" s="1" t="s">
        <v>7</v>
      </c>
      <c r="E10" s="3" t="s">
        <v>3</v>
      </c>
      <c r="F10" s="3" t="s">
        <v>3</v>
      </c>
      <c r="G10" s="3" t="s">
        <v>89</v>
      </c>
      <c r="H10" s="18" t="str">
        <f t="shared" si="0"/>
        <v>Absent</v>
      </c>
    </row>
    <row r="11" spans="1:16" ht="18.75">
      <c r="A11" s="2">
        <v>5</v>
      </c>
      <c r="B11" s="23" t="s">
        <v>96</v>
      </c>
      <c r="C11" s="17" t="s">
        <v>8</v>
      </c>
      <c r="D11" s="1" t="s">
        <v>9</v>
      </c>
      <c r="E11" s="3">
        <v>35</v>
      </c>
      <c r="F11" s="3">
        <v>50</v>
      </c>
      <c r="G11" s="3">
        <f t="shared" si="1"/>
        <v>85</v>
      </c>
      <c r="H11" s="30" t="str">
        <f t="shared" si="0"/>
        <v>A</v>
      </c>
    </row>
    <row r="12" spans="1:16" ht="18.75">
      <c r="A12" s="2">
        <v>6</v>
      </c>
      <c r="B12" s="23" t="s">
        <v>98</v>
      </c>
      <c r="C12" s="17" t="s">
        <v>10</v>
      </c>
      <c r="D12" s="1" t="s">
        <v>11</v>
      </c>
      <c r="E12" s="3">
        <v>18</v>
      </c>
      <c r="F12" s="3">
        <v>34</v>
      </c>
      <c r="G12" s="3">
        <f t="shared" si="1"/>
        <v>52</v>
      </c>
      <c r="H12" s="30" t="str">
        <f t="shared" si="0"/>
        <v>S</v>
      </c>
    </row>
    <row r="13" spans="1:16" ht="18.75">
      <c r="A13" s="2">
        <v>7</v>
      </c>
      <c r="B13" s="24" t="s">
        <v>99</v>
      </c>
      <c r="C13" s="17" t="s">
        <v>12</v>
      </c>
      <c r="D13" s="1" t="s">
        <v>13</v>
      </c>
      <c r="E13" s="3">
        <v>28</v>
      </c>
      <c r="F13" s="3">
        <v>38</v>
      </c>
      <c r="G13" s="3">
        <f t="shared" si="1"/>
        <v>66</v>
      </c>
      <c r="H13" s="30" t="str">
        <f t="shared" si="0"/>
        <v>B</v>
      </c>
    </row>
    <row r="14" spans="1:16" ht="18.75">
      <c r="A14" s="2">
        <v>8</v>
      </c>
      <c r="B14" s="24" t="s">
        <v>100</v>
      </c>
      <c r="C14" s="17" t="s">
        <v>14</v>
      </c>
      <c r="D14" s="1" t="s">
        <v>15</v>
      </c>
      <c r="E14" s="3">
        <v>40</v>
      </c>
      <c r="F14" s="3">
        <v>50</v>
      </c>
      <c r="G14" s="3">
        <f t="shared" si="1"/>
        <v>90</v>
      </c>
      <c r="H14" s="30" t="str">
        <f t="shared" si="0"/>
        <v>A</v>
      </c>
    </row>
    <row r="15" spans="1:16" ht="18.75">
      <c r="A15" s="2">
        <v>9</v>
      </c>
      <c r="B15" s="23" t="s">
        <v>101</v>
      </c>
      <c r="C15" s="17" t="s">
        <v>16</v>
      </c>
      <c r="D15" s="1">
        <v>198383004222</v>
      </c>
      <c r="E15" s="3">
        <v>42</v>
      </c>
      <c r="F15" s="3">
        <v>43</v>
      </c>
      <c r="G15" s="3">
        <f t="shared" si="1"/>
        <v>85</v>
      </c>
      <c r="H15" s="30" t="str">
        <f t="shared" si="0"/>
        <v>A</v>
      </c>
    </row>
    <row r="16" spans="1:16" ht="18.75">
      <c r="A16" s="2">
        <v>10</v>
      </c>
      <c r="B16" s="23" t="s">
        <v>102</v>
      </c>
      <c r="C16" s="17" t="s">
        <v>17</v>
      </c>
      <c r="D16" s="1" t="s">
        <v>18</v>
      </c>
      <c r="E16" s="3">
        <v>38</v>
      </c>
      <c r="F16" s="3">
        <v>36</v>
      </c>
      <c r="G16" s="3">
        <f t="shared" si="1"/>
        <v>74</v>
      </c>
      <c r="H16" s="30" t="str">
        <f t="shared" si="0"/>
        <v>B</v>
      </c>
    </row>
    <row r="17" spans="1:8" ht="18.75">
      <c r="A17" s="2">
        <v>11</v>
      </c>
      <c r="B17" s="24" t="s">
        <v>103</v>
      </c>
      <c r="C17" s="17" t="s">
        <v>19</v>
      </c>
      <c r="D17" s="1">
        <v>198779602431</v>
      </c>
      <c r="E17" s="3">
        <v>47</v>
      </c>
      <c r="F17" s="3">
        <v>50</v>
      </c>
      <c r="G17" s="3">
        <f t="shared" si="1"/>
        <v>97</v>
      </c>
      <c r="H17" s="30" t="str">
        <f t="shared" si="0"/>
        <v>A</v>
      </c>
    </row>
    <row r="18" spans="1:8" ht="18.75">
      <c r="A18" s="2">
        <v>12</v>
      </c>
      <c r="B18" s="24" t="s">
        <v>104</v>
      </c>
      <c r="C18" s="17" t="s">
        <v>20</v>
      </c>
      <c r="D18" s="1">
        <v>198157800850</v>
      </c>
      <c r="E18" s="3">
        <v>47</v>
      </c>
      <c r="F18" s="3">
        <v>49</v>
      </c>
      <c r="G18" s="3">
        <f t="shared" si="1"/>
        <v>96</v>
      </c>
      <c r="H18" s="30" t="str">
        <f t="shared" si="0"/>
        <v>A</v>
      </c>
    </row>
    <row r="19" spans="1:8" ht="31.5">
      <c r="A19" s="2">
        <v>13</v>
      </c>
      <c r="B19" s="25" t="s">
        <v>162</v>
      </c>
      <c r="C19" s="17" t="s">
        <v>21</v>
      </c>
      <c r="D19" s="1">
        <v>197453402345</v>
      </c>
      <c r="E19" s="3">
        <v>28</v>
      </c>
      <c r="F19" s="3">
        <v>17</v>
      </c>
      <c r="G19" s="3">
        <f t="shared" si="1"/>
        <v>45</v>
      </c>
      <c r="H19" s="30" t="str">
        <f t="shared" si="0"/>
        <v>S</v>
      </c>
    </row>
    <row r="20" spans="1:8">
      <c r="A20" s="2">
        <v>14</v>
      </c>
      <c r="B20" s="23" t="s">
        <v>105</v>
      </c>
      <c r="C20" s="17" t="s">
        <v>22</v>
      </c>
      <c r="D20" s="1" t="s">
        <v>23</v>
      </c>
      <c r="E20" s="3" t="s">
        <v>3</v>
      </c>
      <c r="F20" s="3" t="s">
        <v>3</v>
      </c>
      <c r="G20" s="3" t="s">
        <v>89</v>
      </c>
      <c r="H20" s="18" t="str">
        <f t="shared" si="0"/>
        <v>Absent</v>
      </c>
    </row>
    <row r="21" spans="1:8" ht="18.75">
      <c r="A21" s="2">
        <v>15</v>
      </c>
      <c r="B21" s="24" t="s">
        <v>106</v>
      </c>
      <c r="C21" s="17" t="s">
        <v>24</v>
      </c>
      <c r="D21" s="1" t="s">
        <v>25</v>
      </c>
      <c r="E21" s="3">
        <v>21</v>
      </c>
      <c r="F21" s="3">
        <v>35</v>
      </c>
      <c r="G21" s="3">
        <f t="shared" si="1"/>
        <v>56</v>
      </c>
      <c r="H21" s="30" t="str">
        <f t="shared" si="0"/>
        <v>C</v>
      </c>
    </row>
    <row r="22" spans="1:8" ht="18.75">
      <c r="A22" s="2">
        <v>17</v>
      </c>
      <c r="B22" s="23" t="s">
        <v>107</v>
      </c>
      <c r="C22" s="17" t="s">
        <v>26</v>
      </c>
      <c r="D22" s="1" t="s">
        <v>27</v>
      </c>
      <c r="E22" s="3">
        <v>36</v>
      </c>
      <c r="F22" s="3">
        <v>39</v>
      </c>
      <c r="G22" s="3">
        <f>SUM(E22:F22)</f>
        <v>75</v>
      </c>
      <c r="H22" s="30" t="str">
        <f>IF(G22="-", "Absent", IF(G22&gt;=75, "A", IF(G22&gt;=65, "B", IF(G22&gt;=55, "C", IF(G22&gt;=44,"S",IF(G22&gt;=0, "F"))))))</f>
        <v>A</v>
      </c>
    </row>
    <row r="23" spans="1:8" ht="30" customHeight="1">
      <c r="A23" s="2">
        <v>18</v>
      </c>
      <c r="B23" s="31" t="s">
        <v>159</v>
      </c>
      <c r="C23" s="17" t="s">
        <v>28</v>
      </c>
      <c r="D23" s="1">
        <v>198269100933</v>
      </c>
      <c r="E23" s="3">
        <v>34</v>
      </c>
      <c r="F23" s="3">
        <v>32</v>
      </c>
      <c r="G23" s="3">
        <f>SUM(E23:F23)</f>
        <v>66</v>
      </c>
      <c r="H23" s="30" t="str">
        <f>IF(G23="-", "Absent", IF(G23&gt;=75, "A", IF(G23&gt;=65, "B", IF(G23&gt;=55, "C", IF(G23&gt;=44,"S",IF(G23&gt;=0, "F"))))))</f>
        <v>B</v>
      </c>
    </row>
    <row r="24" spans="1:8" ht="18.75">
      <c r="A24" s="2">
        <v>19</v>
      </c>
      <c r="B24" s="23" t="s">
        <v>108</v>
      </c>
      <c r="C24" s="17" t="s">
        <v>29</v>
      </c>
      <c r="D24" s="1">
        <v>198482302179</v>
      </c>
      <c r="E24" s="3">
        <v>23</v>
      </c>
      <c r="F24" s="3">
        <v>36</v>
      </c>
      <c r="G24" s="3">
        <f t="shared" si="1"/>
        <v>59</v>
      </c>
      <c r="H24" s="30" t="str">
        <f t="shared" si="0"/>
        <v>C</v>
      </c>
    </row>
    <row r="25" spans="1:8" ht="18.75">
      <c r="A25" s="2">
        <v>20</v>
      </c>
      <c r="B25" s="23" t="s">
        <v>156</v>
      </c>
      <c r="C25" s="17" t="s">
        <v>30</v>
      </c>
      <c r="D25" s="1" t="s">
        <v>31</v>
      </c>
      <c r="E25" s="3">
        <v>20</v>
      </c>
      <c r="F25" s="3">
        <v>43</v>
      </c>
      <c r="G25" s="3">
        <f t="shared" si="1"/>
        <v>63</v>
      </c>
      <c r="H25" s="30" t="str">
        <f t="shared" si="0"/>
        <v>C</v>
      </c>
    </row>
    <row r="26" spans="1:8" ht="18.75">
      <c r="A26" s="2">
        <v>21</v>
      </c>
      <c r="B26" s="24" t="s">
        <v>160</v>
      </c>
      <c r="C26" s="17" t="s">
        <v>32</v>
      </c>
      <c r="D26" s="1">
        <v>200370911128</v>
      </c>
      <c r="E26" s="3">
        <v>33</v>
      </c>
      <c r="F26" s="3">
        <v>32</v>
      </c>
      <c r="G26" s="3">
        <f t="shared" si="1"/>
        <v>65</v>
      </c>
      <c r="H26" s="30" t="str">
        <f t="shared" si="0"/>
        <v>B</v>
      </c>
    </row>
    <row r="27" spans="1:8" ht="18.75">
      <c r="A27" s="2">
        <v>22</v>
      </c>
      <c r="B27" s="23" t="s">
        <v>109</v>
      </c>
      <c r="C27" s="17" t="s">
        <v>33</v>
      </c>
      <c r="D27" s="1">
        <v>198371500620</v>
      </c>
      <c r="E27" s="3">
        <v>33</v>
      </c>
      <c r="F27" s="3">
        <v>35</v>
      </c>
      <c r="G27" s="3">
        <f t="shared" si="1"/>
        <v>68</v>
      </c>
      <c r="H27" s="30" t="str">
        <f t="shared" si="0"/>
        <v>B</v>
      </c>
    </row>
    <row r="28" spans="1:8">
      <c r="A28" s="2">
        <v>23</v>
      </c>
      <c r="B28" s="24" t="s">
        <v>110</v>
      </c>
      <c r="C28" s="17" t="s">
        <v>34</v>
      </c>
      <c r="D28" s="1" t="s">
        <v>35</v>
      </c>
      <c r="E28" s="3" t="s">
        <v>3</v>
      </c>
      <c r="F28" s="3" t="s">
        <v>3</v>
      </c>
      <c r="G28" s="3" t="s">
        <v>89</v>
      </c>
      <c r="H28" s="18" t="str">
        <f t="shared" si="0"/>
        <v>Absent</v>
      </c>
    </row>
    <row r="29" spans="1:8" ht="18.75">
      <c r="A29" s="2">
        <v>24</v>
      </c>
      <c r="B29" s="23" t="s">
        <v>111</v>
      </c>
      <c r="C29" s="17" t="s">
        <v>36</v>
      </c>
      <c r="D29" s="1">
        <v>198178103453</v>
      </c>
      <c r="E29" s="3">
        <v>43</v>
      </c>
      <c r="F29" s="3">
        <v>35</v>
      </c>
      <c r="G29" s="3">
        <f t="shared" si="1"/>
        <v>78</v>
      </c>
      <c r="H29" s="30" t="str">
        <f t="shared" si="0"/>
        <v>A</v>
      </c>
    </row>
    <row r="30" spans="1:8" ht="18.75">
      <c r="A30" s="2">
        <v>25</v>
      </c>
      <c r="B30" s="23" t="s">
        <v>112</v>
      </c>
      <c r="C30" s="17" t="s">
        <v>37</v>
      </c>
      <c r="D30" s="1" t="s">
        <v>38</v>
      </c>
      <c r="E30" s="3">
        <v>44</v>
      </c>
      <c r="F30" s="3">
        <v>35</v>
      </c>
      <c r="G30" s="3">
        <f t="shared" si="1"/>
        <v>79</v>
      </c>
      <c r="H30" s="30" t="str">
        <f t="shared" si="0"/>
        <v>A</v>
      </c>
    </row>
    <row r="31" spans="1:8" ht="18.75">
      <c r="A31" s="2">
        <v>26</v>
      </c>
      <c r="B31" s="24" t="s">
        <v>157</v>
      </c>
      <c r="C31" s="17" t="s">
        <v>39</v>
      </c>
      <c r="D31" s="1" t="s">
        <v>40</v>
      </c>
      <c r="E31" s="3">
        <v>42</v>
      </c>
      <c r="F31" s="3">
        <v>44</v>
      </c>
      <c r="G31" s="3">
        <f t="shared" si="1"/>
        <v>86</v>
      </c>
      <c r="H31" s="30" t="str">
        <f t="shared" si="0"/>
        <v>A</v>
      </c>
    </row>
    <row r="32" spans="1:8" ht="18.75">
      <c r="A32" s="2">
        <v>27</v>
      </c>
      <c r="B32" s="23" t="s">
        <v>113</v>
      </c>
      <c r="C32" s="17" t="s">
        <v>41</v>
      </c>
      <c r="D32" s="1" t="s">
        <v>42</v>
      </c>
      <c r="E32" s="3">
        <v>30</v>
      </c>
      <c r="F32" s="3">
        <v>47</v>
      </c>
      <c r="G32" s="3">
        <f t="shared" si="1"/>
        <v>77</v>
      </c>
      <c r="H32" s="30" t="str">
        <f t="shared" si="0"/>
        <v>A</v>
      </c>
    </row>
    <row r="33" spans="1:8">
      <c r="A33" s="2">
        <v>28</v>
      </c>
      <c r="B33" s="23" t="s">
        <v>114</v>
      </c>
      <c r="C33" s="17" t="s">
        <v>43</v>
      </c>
      <c r="D33" s="1" t="s">
        <v>44</v>
      </c>
      <c r="E33" s="3" t="s">
        <v>3</v>
      </c>
      <c r="F33" s="3" t="s">
        <v>3</v>
      </c>
      <c r="G33" s="3" t="s">
        <v>89</v>
      </c>
      <c r="H33" s="18" t="str">
        <f t="shared" si="0"/>
        <v>Absent</v>
      </c>
    </row>
    <row r="34" spans="1:8">
      <c r="A34" s="2">
        <v>29</v>
      </c>
      <c r="B34" s="24" t="s">
        <v>115</v>
      </c>
      <c r="C34" s="17" t="s">
        <v>45</v>
      </c>
      <c r="D34" s="1" t="s">
        <v>46</v>
      </c>
      <c r="E34" s="3" t="s">
        <v>3</v>
      </c>
      <c r="F34" s="3" t="s">
        <v>3</v>
      </c>
      <c r="G34" s="3" t="s">
        <v>89</v>
      </c>
      <c r="H34" s="18" t="str">
        <f t="shared" si="0"/>
        <v>Absent</v>
      </c>
    </row>
    <row r="35" spans="1:8" ht="18.75">
      <c r="A35" s="2">
        <v>30</v>
      </c>
      <c r="B35" s="23" t="s">
        <v>116</v>
      </c>
      <c r="C35" s="17" t="s">
        <v>47</v>
      </c>
      <c r="D35" s="1" t="s">
        <v>48</v>
      </c>
      <c r="E35" s="3">
        <v>50</v>
      </c>
      <c r="F35" s="3">
        <v>50</v>
      </c>
      <c r="G35" s="3">
        <f t="shared" si="1"/>
        <v>100</v>
      </c>
      <c r="H35" s="30" t="str">
        <f t="shared" si="0"/>
        <v>A</v>
      </c>
    </row>
    <row r="36" spans="1:8" ht="18.75">
      <c r="A36" s="2">
        <v>31</v>
      </c>
      <c r="B36" s="23" t="s">
        <v>117</v>
      </c>
      <c r="C36" s="17" t="s">
        <v>49</v>
      </c>
      <c r="D36" s="1" t="s">
        <v>50</v>
      </c>
      <c r="E36" s="3">
        <v>50</v>
      </c>
      <c r="F36" s="3">
        <v>50</v>
      </c>
      <c r="G36" s="3">
        <f t="shared" si="1"/>
        <v>100</v>
      </c>
      <c r="H36" s="30" t="str">
        <f t="shared" si="0"/>
        <v>A</v>
      </c>
    </row>
    <row r="37" spans="1:8" ht="18.75">
      <c r="A37" s="2">
        <v>32</v>
      </c>
      <c r="B37" s="23" t="s">
        <v>118</v>
      </c>
      <c r="C37" s="17" t="s">
        <v>51</v>
      </c>
      <c r="D37" s="1">
        <v>198962201388</v>
      </c>
      <c r="E37" s="3">
        <v>28</v>
      </c>
      <c r="F37" s="3">
        <v>48</v>
      </c>
      <c r="G37" s="3">
        <f t="shared" si="1"/>
        <v>76</v>
      </c>
      <c r="H37" s="30" t="str">
        <f t="shared" si="0"/>
        <v>A</v>
      </c>
    </row>
    <row r="38" spans="1:8" ht="28.5" customHeight="1">
      <c r="A38" s="2">
        <v>33</v>
      </c>
      <c r="B38" s="24" t="s">
        <v>134</v>
      </c>
      <c r="C38" s="17" t="s">
        <v>52</v>
      </c>
      <c r="D38" s="1" t="s">
        <v>53</v>
      </c>
      <c r="E38" s="3">
        <v>32</v>
      </c>
      <c r="F38" s="3">
        <v>41</v>
      </c>
      <c r="G38" s="3">
        <f t="shared" si="1"/>
        <v>73</v>
      </c>
      <c r="H38" s="30" t="str">
        <f t="shared" si="0"/>
        <v>B</v>
      </c>
    </row>
    <row r="39" spans="1:8">
      <c r="A39" s="2">
        <v>34</v>
      </c>
      <c r="B39" s="23" t="s">
        <v>119</v>
      </c>
      <c r="C39" s="17" t="s">
        <v>54</v>
      </c>
      <c r="D39" s="1" t="s">
        <v>55</v>
      </c>
      <c r="E39" s="3" t="s">
        <v>3</v>
      </c>
      <c r="F39" s="3" t="s">
        <v>3</v>
      </c>
      <c r="G39" s="3" t="s">
        <v>89</v>
      </c>
      <c r="H39" s="18" t="str">
        <f t="shared" si="0"/>
        <v>Absent</v>
      </c>
    </row>
    <row r="40" spans="1:8" ht="18" customHeight="1">
      <c r="A40" s="2">
        <v>35</v>
      </c>
      <c r="B40" s="24" t="s">
        <v>120</v>
      </c>
      <c r="C40" s="17" t="s">
        <v>56</v>
      </c>
      <c r="D40" s="1">
        <v>199769401756</v>
      </c>
      <c r="E40" s="3" t="s">
        <v>3</v>
      </c>
      <c r="F40" s="3" t="s">
        <v>3</v>
      </c>
      <c r="G40" s="3" t="s">
        <v>89</v>
      </c>
      <c r="H40" s="18" t="str">
        <f t="shared" si="0"/>
        <v>Absent</v>
      </c>
    </row>
    <row r="41" spans="1:8">
      <c r="A41" s="2">
        <v>36</v>
      </c>
      <c r="B41" s="23" t="s">
        <v>140</v>
      </c>
      <c r="C41" s="17" t="s">
        <v>141</v>
      </c>
      <c r="D41" s="1" t="s">
        <v>142</v>
      </c>
      <c r="E41" s="3">
        <v>35</v>
      </c>
      <c r="F41" s="3">
        <v>44</v>
      </c>
      <c r="G41" s="3">
        <f>SUM(E41:F41)</f>
        <v>79</v>
      </c>
      <c r="H41" s="18" t="str">
        <f>IF(G41="-", "Absent", IF(G41&gt;=75, "A", IF(G41&gt;=65, "B", IF(G41&gt;=55, "C", IF(G41&gt;=44,"S",IF(G41&gt;=0, "F"))))))</f>
        <v>A</v>
      </c>
    </row>
    <row r="42" spans="1:8">
      <c r="A42" s="2">
        <v>37</v>
      </c>
      <c r="B42" s="23" t="s">
        <v>143</v>
      </c>
      <c r="C42" s="17" t="s">
        <v>144</v>
      </c>
      <c r="D42" s="1" t="s">
        <v>145</v>
      </c>
      <c r="E42" s="3">
        <v>49</v>
      </c>
      <c r="F42" s="3">
        <v>50</v>
      </c>
      <c r="G42" s="3">
        <f t="shared" si="1"/>
        <v>99</v>
      </c>
      <c r="H42" s="18" t="str">
        <f t="shared" ref="H42:H44" si="2">IF(G42="-", "Absent", IF(G42&gt;=75, "A", IF(G42&gt;=65, "B", IF(G42&gt;=55, "C", IF(G42&gt;=44,"S",IF(G42&gt;=0, "F"))))))</f>
        <v>A</v>
      </c>
    </row>
    <row r="43" spans="1:8">
      <c r="A43" s="2">
        <v>38</v>
      </c>
      <c r="B43" s="23" t="s">
        <v>146</v>
      </c>
      <c r="C43" s="17" t="s">
        <v>147</v>
      </c>
      <c r="D43" s="1">
        <v>197961102166</v>
      </c>
      <c r="E43" s="3">
        <v>41</v>
      </c>
      <c r="F43" s="3">
        <v>32</v>
      </c>
      <c r="G43" s="3">
        <f t="shared" si="1"/>
        <v>73</v>
      </c>
      <c r="H43" s="18" t="str">
        <f t="shared" si="2"/>
        <v>B</v>
      </c>
    </row>
    <row r="44" spans="1:8">
      <c r="A44" s="2">
        <v>39</v>
      </c>
      <c r="B44" s="23" t="s">
        <v>148</v>
      </c>
      <c r="C44" s="17" t="s">
        <v>149</v>
      </c>
      <c r="D44" s="1" t="s">
        <v>150</v>
      </c>
      <c r="E44" s="3">
        <v>39</v>
      </c>
      <c r="F44" s="3">
        <v>25</v>
      </c>
      <c r="G44" s="3">
        <f t="shared" si="1"/>
        <v>64</v>
      </c>
      <c r="H44" s="18" t="str">
        <f t="shared" si="2"/>
        <v>C</v>
      </c>
    </row>
    <row r="45" spans="1:8">
      <c r="A45" s="2">
        <v>40</v>
      </c>
      <c r="B45" s="23" t="s">
        <v>151</v>
      </c>
      <c r="C45" s="17" t="s">
        <v>152</v>
      </c>
      <c r="D45" s="1" t="s">
        <v>153</v>
      </c>
      <c r="E45" s="3" t="s">
        <v>3</v>
      </c>
      <c r="F45" s="3" t="s">
        <v>3</v>
      </c>
      <c r="G45" s="3" t="s">
        <v>89</v>
      </c>
      <c r="H45" s="18" t="s">
        <v>154</v>
      </c>
    </row>
    <row r="46" spans="1:8" ht="18.75">
      <c r="A46" s="2">
        <v>41</v>
      </c>
      <c r="B46" s="24" t="s">
        <v>121</v>
      </c>
      <c r="C46" s="17" t="s">
        <v>57</v>
      </c>
      <c r="D46" s="1">
        <v>197674900283</v>
      </c>
      <c r="E46" s="3">
        <v>31</v>
      </c>
      <c r="F46" s="3">
        <v>38</v>
      </c>
      <c r="G46" s="3">
        <f t="shared" si="1"/>
        <v>69</v>
      </c>
      <c r="H46" s="30" t="str">
        <f t="shared" si="0"/>
        <v>B</v>
      </c>
    </row>
    <row r="47" spans="1:8" ht="31.5">
      <c r="A47" s="2">
        <v>42</v>
      </c>
      <c r="B47" s="24" t="s">
        <v>161</v>
      </c>
      <c r="C47" s="17" t="s">
        <v>58</v>
      </c>
      <c r="D47" s="1" t="s">
        <v>59</v>
      </c>
      <c r="E47" s="3">
        <v>38</v>
      </c>
      <c r="F47" s="3">
        <v>36</v>
      </c>
      <c r="G47" s="3">
        <f t="shared" si="1"/>
        <v>74</v>
      </c>
      <c r="H47" s="30" t="str">
        <f t="shared" si="0"/>
        <v>B</v>
      </c>
    </row>
    <row r="48" spans="1:8">
      <c r="A48" s="2">
        <v>43</v>
      </c>
      <c r="B48" s="23" t="s">
        <v>122</v>
      </c>
      <c r="C48" s="17" t="s">
        <v>60</v>
      </c>
      <c r="D48" s="1" t="s">
        <v>61</v>
      </c>
      <c r="E48" s="3" t="s">
        <v>3</v>
      </c>
      <c r="F48" s="3" t="s">
        <v>3</v>
      </c>
      <c r="G48" s="3" t="s">
        <v>89</v>
      </c>
      <c r="H48" s="18" t="str">
        <f t="shared" si="0"/>
        <v>Absent</v>
      </c>
    </row>
    <row r="49" spans="1:8" ht="18.75">
      <c r="A49" s="2">
        <v>44</v>
      </c>
      <c r="B49" s="23" t="s">
        <v>123</v>
      </c>
      <c r="C49" s="17" t="s">
        <v>62</v>
      </c>
      <c r="D49" s="1" t="s">
        <v>63</v>
      </c>
      <c r="E49" s="3">
        <v>36</v>
      </c>
      <c r="F49" s="3">
        <v>26</v>
      </c>
      <c r="G49" s="3">
        <f t="shared" si="1"/>
        <v>62</v>
      </c>
      <c r="H49" s="30" t="str">
        <f t="shared" si="0"/>
        <v>C</v>
      </c>
    </row>
    <row r="50" spans="1:8" ht="18.75">
      <c r="A50" s="2">
        <v>45</v>
      </c>
      <c r="B50" s="23" t="s">
        <v>124</v>
      </c>
      <c r="C50" s="17" t="s">
        <v>64</v>
      </c>
      <c r="D50" s="1" t="s">
        <v>65</v>
      </c>
      <c r="E50" s="3">
        <v>25</v>
      </c>
      <c r="F50" s="3">
        <v>23</v>
      </c>
      <c r="G50" s="3">
        <f t="shared" si="1"/>
        <v>48</v>
      </c>
      <c r="H50" s="30" t="str">
        <f t="shared" si="0"/>
        <v>S</v>
      </c>
    </row>
    <row r="51" spans="1:8" ht="18.75">
      <c r="A51" s="2">
        <v>46</v>
      </c>
      <c r="B51" s="24" t="s">
        <v>125</v>
      </c>
      <c r="C51" s="17" t="s">
        <v>66</v>
      </c>
      <c r="D51" s="1" t="s">
        <v>67</v>
      </c>
      <c r="E51" s="3">
        <v>28</v>
      </c>
      <c r="F51" s="3">
        <v>27</v>
      </c>
      <c r="G51" s="3">
        <f t="shared" si="1"/>
        <v>55</v>
      </c>
      <c r="H51" s="30" t="str">
        <f t="shared" si="0"/>
        <v>C</v>
      </c>
    </row>
    <row r="52" spans="1:8" ht="18.75">
      <c r="A52" s="2">
        <v>47</v>
      </c>
      <c r="B52" s="24" t="s">
        <v>126</v>
      </c>
      <c r="C52" s="17" t="s">
        <v>68</v>
      </c>
      <c r="D52" s="1" t="s">
        <v>69</v>
      </c>
      <c r="E52" s="3">
        <v>30</v>
      </c>
      <c r="F52" s="3">
        <v>27</v>
      </c>
      <c r="G52" s="3">
        <f t="shared" si="1"/>
        <v>57</v>
      </c>
      <c r="H52" s="30" t="str">
        <f t="shared" si="0"/>
        <v>C</v>
      </c>
    </row>
    <row r="53" spans="1:8" ht="18.75">
      <c r="A53" s="2">
        <v>48</v>
      </c>
      <c r="B53" s="23" t="s">
        <v>127</v>
      </c>
      <c r="C53" s="17" t="s">
        <v>70</v>
      </c>
      <c r="D53" s="1">
        <v>198861201849</v>
      </c>
      <c r="E53" s="3">
        <v>34</v>
      </c>
      <c r="F53" s="3">
        <v>18</v>
      </c>
      <c r="G53" s="3">
        <f t="shared" si="1"/>
        <v>52</v>
      </c>
      <c r="H53" s="30" t="str">
        <f t="shared" si="0"/>
        <v>S</v>
      </c>
    </row>
    <row r="54" spans="1:8" ht="18.75">
      <c r="A54" s="2">
        <v>49</v>
      </c>
      <c r="B54" s="23" t="s">
        <v>158</v>
      </c>
      <c r="C54" s="17" t="s">
        <v>71</v>
      </c>
      <c r="D54" s="1" t="s">
        <v>72</v>
      </c>
      <c r="E54" s="3">
        <v>35</v>
      </c>
      <c r="F54" s="3">
        <v>45</v>
      </c>
      <c r="G54" s="3">
        <f t="shared" si="1"/>
        <v>80</v>
      </c>
      <c r="H54" s="30" t="str">
        <f t="shared" si="0"/>
        <v>A</v>
      </c>
    </row>
    <row r="55" spans="1:8" ht="18.75">
      <c r="A55" s="2">
        <v>50</v>
      </c>
      <c r="B55" s="24" t="s">
        <v>128</v>
      </c>
      <c r="C55" s="17" t="s">
        <v>73</v>
      </c>
      <c r="D55" s="1">
        <v>200183100398</v>
      </c>
      <c r="E55" s="3">
        <v>44</v>
      </c>
      <c r="F55" s="3">
        <v>34</v>
      </c>
      <c r="G55" s="3">
        <f t="shared" si="1"/>
        <v>78</v>
      </c>
      <c r="H55" s="30" t="str">
        <f t="shared" si="0"/>
        <v>A</v>
      </c>
    </row>
    <row r="56" spans="1:8" ht="18.75">
      <c r="A56" s="2">
        <v>51</v>
      </c>
      <c r="B56" s="24" t="s">
        <v>129</v>
      </c>
      <c r="C56" s="17" t="s">
        <v>74</v>
      </c>
      <c r="D56" s="1" t="s">
        <v>75</v>
      </c>
      <c r="E56" s="3">
        <v>38</v>
      </c>
      <c r="F56" s="3">
        <v>38</v>
      </c>
      <c r="G56" s="3">
        <f t="shared" si="1"/>
        <v>76</v>
      </c>
      <c r="H56" s="30" t="str">
        <f t="shared" si="0"/>
        <v>A</v>
      </c>
    </row>
    <row r="57" spans="1:8" ht="18.75">
      <c r="A57" s="2">
        <v>52</v>
      </c>
      <c r="B57" s="24" t="s">
        <v>155</v>
      </c>
      <c r="C57" s="17" t="s">
        <v>76</v>
      </c>
      <c r="D57" s="1" t="s">
        <v>77</v>
      </c>
      <c r="E57" s="3">
        <v>20</v>
      </c>
      <c r="F57" s="3">
        <v>37</v>
      </c>
      <c r="G57" s="3">
        <f t="shared" si="1"/>
        <v>57</v>
      </c>
      <c r="H57" s="30" t="str">
        <f t="shared" si="0"/>
        <v>C</v>
      </c>
    </row>
    <row r="58" spans="1:8" ht="18.75">
      <c r="A58" s="2">
        <v>53</v>
      </c>
      <c r="B58" s="23" t="s">
        <v>130</v>
      </c>
      <c r="C58" s="17" t="s">
        <v>78</v>
      </c>
      <c r="D58" s="1" t="s">
        <v>79</v>
      </c>
      <c r="E58" s="3">
        <v>26</v>
      </c>
      <c r="F58" s="3">
        <v>42</v>
      </c>
      <c r="G58" s="3">
        <f t="shared" si="1"/>
        <v>68</v>
      </c>
      <c r="H58" s="30" t="str">
        <f t="shared" si="0"/>
        <v>B</v>
      </c>
    </row>
    <row r="59" spans="1:8">
      <c r="A59" s="2">
        <v>54</v>
      </c>
      <c r="B59" s="24" t="s">
        <v>131</v>
      </c>
      <c r="C59" s="17" t="s">
        <v>80</v>
      </c>
      <c r="D59" s="1">
        <v>199725702565</v>
      </c>
      <c r="E59" s="3" t="s">
        <v>3</v>
      </c>
      <c r="F59" s="3" t="s">
        <v>3</v>
      </c>
      <c r="G59" s="3" t="s">
        <v>89</v>
      </c>
      <c r="H59" s="18" t="str">
        <f t="shared" si="0"/>
        <v>Absent</v>
      </c>
    </row>
    <row r="60" spans="1:8" ht="18.75">
      <c r="A60" s="2">
        <v>55</v>
      </c>
      <c r="B60" s="24" t="s">
        <v>132</v>
      </c>
      <c r="C60" s="17" t="s">
        <v>81</v>
      </c>
      <c r="D60" s="1" t="s">
        <v>82</v>
      </c>
      <c r="E60" s="3">
        <v>40</v>
      </c>
      <c r="F60" s="3">
        <v>38</v>
      </c>
      <c r="G60" s="3">
        <f t="shared" si="1"/>
        <v>78</v>
      </c>
      <c r="H60" s="30" t="str">
        <f t="shared" si="0"/>
        <v>A</v>
      </c>
    </row>
    <row r="61" spans="1:8">
      <c r="A61" s="2">
        <v>56</v>
      </c>
      <c r="B61" s="23" t="s">
        <v>133</v>
      </c>
      <c r="C61" s="17" t="s">
        <v>83</v>
      </c>
      <c r="D61" s="1" t="s">
        <v>84</v>
      </c>
      <c r="E61" s="3" t="s">
        <v>3</v>
      </c>
      <c r="F61" s="3" t="s">
        <v>3</v>
      </c>
      <c r="G61" s="3" t="s">
        <v>89</v>
      </c>
      <c r="H61" s="18" t="str">
        <f t="shared" si="0"/>
        <v>Absent</v>
      </c>
    </row>
  </sheetData>
  <mergeCells count="5">
    <mergeCell ref="A1:H1"/>
    <mergeCell ref="A2:H2"/>
    <mergeCell ref="A3:H3"/>
    <mergeCell ref="A4:H4"/>
    <mergeCell ref="A5:H5"/>
  </mergeCells>
  <pageMargins left="0.75" right="0.75" top="0" bottom="0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Result sheet</vt:lpstr>
      <vt:lpstr>'final Result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2026-07-24T08:41:35Z</dcterms:modified>
</cp:coreProperties>
</file>