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c-Link\Downloads\Results (2)\Results\"/>
    </mc:Choice>
  </mc:AlternateContent>
  <xr:revisionPtr revIDLastSave="0" documentId="13_ncr:1_{FDFA6111-BFDB-4800-8D9D-B97C135F76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Centers" sheetId="9" r:id="rId1"/>
  </sheets>
  <definedNames>
    <definedName name="_xlnm.Print_Area" localSheetId="0">'All Centers'!$B$1:$AB$409</definedName>
    <definedName name="_xlnm.Print_Titles" localSheetId="0">'All Centers'!$1:$7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8" i="9" l="1"/>
  <c r="S168" i="9" s="1"/>
  <c r="Q168" i="9"/>
  <c r="O168" i="9"/>
  <c r="M168" i="9"/>
  <c r="K168" i="9"/>
  <c r="I168" i="9"/>
  <c r="G168" i="9"/>
  <c r="T168" i="9" l="1"/>
  <c r="U168" i="9" l="1"/>
  <c r="V168" i="9" s="1"/>
  <c r="W168" i="9" l="1"/>
  <c r="X168" i="9" s="1"/>
  <c r="G148" i="9" l="1"/>
  <c r="I148" i="9"/>
  <c r="K148" i="9"/>
  <c r="M148" i="9"/>
  <c r="O148" i="9"/>
  <c r="Q148" i="9"/>
  <c r="R148" i="9"/>
  <c r="S148" i="9" s="1"/>
  <c r="T148" i="9" l="1"/>
  <c r="U148" i="9" s="1"/>
  <c r="V148" i="9" s="1"/>
  <c r="S409" i="9"/>
  <c r="Q409" i="9"/>
  <c r="O409" i="9"/>
  <c r="M409" i="9"/>
  <c r="K409" i="9"/>
  <c r="I409" i="9"/>
  <c r="G409" i="9"/>
  <c r="S408" i="9"/>
  <c r="Q408" i="9"/>
  <c r="O408" i="9"/>
  <c r="M408" i="9"/>
  <c r="K408" i="9"/>
  <c r="I408" i="9"/>
  <c r="G408" i="9"/>
  <c r="R407" i="9"/>
  <c r="S407" i="9" s="1"/>
  <c r="Q407" i="9"/>
  <c r="O407" i="9"/>
  <c r="M407" i="9"/>
  <c r="K407" i="9"/>
  <c r="I407" i="9"/>
  <c r="G407" i="9"/>
  <c r="S406" i="9"/>
  <c r="Q406" i="9"/>
  <c r="O406" i="9"/>
  <c r="M406" i="9"/>
  <c r="K406" i="9"/>
  <c r="I406" i="9"/>
  <c r="G406" i="9"/>
  <c r="R405" i="9"/>
  <c r="S405" i="9" s="1"/>
  <c r="Q405" i="9"/>
  <c r="O405" i="9"/>
  <c r="M405" i="9"/>
  <c r="K405" i="9"/>
  <c r="I405" i="9"/>
  <c r="G405" i="9"/>
  <c r="R404" i="9"/>
  <c r="S404" i="9" s="1"/>
  <c r="Q404" i="9"/>
  <c r="O404" i="9"/>
  <c r="M404" i="9"/>
  <c r="K404" i="9"/>
  <c r="I404" i="9"/>
  <c r="G404" i="9"/>
  <c r="R403" i="9"/>
  <c r="S403" i="9" s="1"/>
  <c r="Q403" i="9"/>
  <c r="O403" i="9"/>
  <c r="M403" i="9"/>
  <c r="K403" i="9"/>
  <c r="I403" i="9"/>
  <c r="G403" i="9"/>
  <c r="R402" i="9"/>
  <c r="S402" i="9" s="1"/>
  <c r="Q402" i="9"/>
  <c r="O402" i="9"/>
  <c r="M402" i="9"/>
  <c r="K402" i="9"/>
  <c r="I402" i="9"/>
  <c r="G402" i="9"/>
  <c r="S401" i="9"/>
  <c r="Q401" i="9"/>
  <c r="O401" i="9"/>
  <c r="M401" i="9"/>
  <c r="K401" i="9"/>
  <c r="I401" i="9"/>
  <c r="G401" i="9"/>
  <c r="R400" i="9"/>
  <c r="S400" i="9" s="1"/>
  <c r="Q400" i="9"/>
  <c r="O400" i="9"/>
  <c r="M400" i="9"/>
  <c r="K400" i="9"/>
  <c r="I400" i="9"/>
  <c r="G400" i="9"/>
  <c r="S399" i="9"/>
  <c r="Q399" i="9"/>
  <c r="O399" i="9"/>
  <c r="M399" i="9"/>
  <c r="K399" i="9"/>
  <c r="I399" i="9"/>
  <c r="G399" i="9"/>
  <c r="R398" i="9"/>
  <c r="S398" i="9" s="1"/>
  <c r="Q398" i="9"/>
  <c r="O398" i="9"/>
  <c r="M398" i="9"/>
  <c r="K398" i="9"/>
  <c r="I398" i="9"/>
  <c r="G398" i="9"/>
  <c r="S397" i="9"/>
  <c r="Q397" i="9"/>
  <c r="O397" i="9"/>
  <c r="M397" i="9"/>
  <c r="K397" i="9"/>
  <c r="I397" i="9"/>
  <c r="G397" i="9"/>
  <c r="S396" i="9"/>
  <c r="Q396" i="9"/>
  <c r="O396" i="9"/>
  <c r="M396" i="9"/>
  <c r="K396" i="9"/>
  <c r="I396" i="9"/>
  <c r="G396" i="9"/>
  <c r="R395" i="9"/>
  <c r="S395" i="9" s="1"/>
  <c r="Q395" i="9"/>
  <c r="O395" i="9"/>
  <c r="M395" i="9"/>
  <c r="K395" i="9"/>
  <c r="I395" i="9"/>
  <c r="G395" i="9"/>
  <c r="R394" i="9"/>
  <c r="S394" i="9" s="1"/>
  <c r="Q394" i="9"/>
  <c r="O394" i="9"/>
  <c r="M394" i="9"/>
  <c r="K394" i="9"/>
  <c r="I394" i="9"/>
  <c r="G394" i="9"/>
  <c r="R393" i="9"/>
  <c r="S393" i="9" s="1"/>
  <c r="Q393" i="9"/>
  <c r="O393" i="9"/>
  <c r="M393" i="9"/>
  <c r="K393" i="9"/>
  <c r="I393" i="9"/>
  <c r="G393" i="9"/>
  <c r="R392" i="9"/>
  <c r="S392" i="9" s="1"/>
  <c r="Q392" i="9"/>
  <c r="O392" i="9"/>
  <c r="M392" i="9"/>
  <c r="K392" i="9"/>
  <c r="I392" i="9"/>
  <c r="G392" i="9"/>
  <c r="R391" i="9"/>
  <c r="S391" i="9" s="1"/>
  <c r="Q391" i="9"/>
  <c r="O391" i="9"/>
  <c r="M391" i="9"/>
  <c r="K391" i="9"/>
  <c r="I391" i="9"/>
  <c r="G391" i="9"/>
  <c r="S390" i="9"/>
  <c r="Q390" i="9"/>
  <c r="O390" i="9"/>
  <c r="M390" i="9"/>
  <c r="K390" i="9"/>
  <c r="I390" i="9"/>
  <c r="G390" i="9"/>
  <c r="R389" i="9"/>
  <c r="S389" i="9" s="1"/>
  <c r="Q389" i="9"/>
  <c r="O389" i="9"/>
  <c r="M389" i="9"/>
  <c r="K389" i="9"/>
  <c r="I389" i="9"/>
  <c r="G389" i="9"/>
  <c r="R388" i="9"/>
  <c r="S388" i="9" s="1"/>
  <c r="Q388" i="9"/>
  <c r="O388" i="9"/>
  <c r="M388" i="9"/>
  <c r="K388" i="9"/>
  <c r="I388" i="9"/>
  <c r="G388" i="9"/>
  <c r="R387" i="9"/>
  <c r="S387" i="9" s="1"/>
  <c r="Q387" i="9"/>
  <c r="O387" i="9"/>
  <c r="M387" i="9"/>
  <c r="K387" i="9"/>
  <c r="I387" i="9"/>
  <c r="G387" i="9"/>
  <c r="S386" i="9"/>
  <c r="Q386" i="9"/>
  <c r="O386" i="9"/>
  <c r="M386" i="9"/>
  <c r="K386" i="9"/>
  <c r="I386" i="9"/>
  <c r="G386" i="9"/>
  <c r="R385" i="9"/>
  <c r="S385" i="9" s="1"/>
  <c r="Q385" i="9"/>
  <c r="O385" i="9"/>
  <c r="M385" i="9"/>
  <c r="K385" i="9"/>
  <c r="I385" i="9"/>
  <c r="G385" i="9"/>
  <c r="R384" i="9"/>
  <c r="S384" i="9" s="1"/>
  <c r="Q384" i="9"/>
  <c r="O384" i="9"/>
  <c r="M384" i="9"/>
  <c r="K384" i="9"/>
  <c r="I384" i="9"/>
  <c r="G384" i="9"/>
  <c r="R383" i="9"/>
  <c r="S383" i="9" s="1"/>
  <c r="Q383" i="9"/>
  <c r="O383" i="9"/>
  <c r="M383" i="9"/>
  <c r="K383" i="9"/>
  <c r="I383" i="9"/>
  <c r="G383" i="9"/>
  <c r="S382" i="9"/>
  <c r="Q382" i="9"/>
  <c r="O382" i="9"/>
  <c r="M382" i="9"/>
  <c r="K382" i="9"/>
  <c r="I382" i="9"/>
  <c r="G382" i="9"/>
  <c r="R381" i="9"/>
  <c r="S381" i="9" s="1"/>
  <c r="Q381" i="9"/>
  <c r="O381" i="9"/>
  <c r="M381" i="9"/>
  <c r="K381" i="9"/>
  <c r="I381" i="9"/>
  <c r="G381" i="9"/>
  <c r="R380" i="9"/>
  <c r="S380" i="9" s="1"/>
  <c r="Q380" i="9"/>
  <c r="O380" i="9"/>
  <c r="M380" i="9"/>
  <c r="K380" i="9"/>
  <c r="I380" i="9"/>
  <c r="G380" i="9"/>
  <c r="R379" i="9"/>
  <c r="S379" i="9" s="1"/>
  <c r="Q379" i="9"/>
  <c r="O379" i="9"/>
  <c r="M379" i="9"/>
  <c r="K379" i="9"/>
  <c r="I379" i="9"/>
  <c r="G379" i="9"/>
  <c r="R378" i="9"/>
  <c r="S378" i="9" s="1"/>
  <c r="Q378" i="9"/>
  <c r="O378" i="9"/>
  <c r="M378" i="9"/>
  <c r="K378" i="9"/>
  <c r="I378" i="9"/>
  <c r="G378" i="9"/>
  <c r="R377" i="9"/>
  <c r="S377" i="9" s="1"/>
  <c r="Q377" i="9"/>
  <c r="O377" i="9"/>
  <c r="M377" i="9"/>
  <c r="K377" i="9"/>
  <c r="I377" i="9"/>
  <c r="G377" i="9"/>
  <c r="R376" i="9"/>
  <c r="S376" i="9" s="1"/>
  <c r="Q376" i="9"/>
  <c r="O376" i="9"/>
  <c r="M376" i="9"/>
  <c r="K376" i="9"/>
  <c r="I376" i="9"/>
  <c r="G376" i="9"/>
  <c r="R375" i="9"/>
  <c r="S375" i="9" s="1"/>
  <c r="Q375" i="9"/>
  <c r="O375" i="9"/>
  <c r="M375" i="9"/>
  <c r="K375" i="9"/>
  <c r="I375" i="9"/>
  <c r="G375" i="9"/>
  <c r="R374" i="9"/>
  <c r="S374" i="9" s="1"/>
  <c r="Q374" i="9"/>
  <c r="O374" i="9"/>
  <c r="M374" i="9"/>
  <c r="K374" i="9"/>
  <c r="I374" i="9"/>
  <c r="G374" i="9"/>
  <c r="S373" i="9"/>
  <c r="Q373" i="9"/>
  <c r="O373" i="9"/>
  <c r="M373" i="9"/>
  <c r="K373" i="9"/>
  <c r="I373" i="9"/>
  <c r="G373" i="9"/>
  <c r="R372" i="9"/>
  <c r="S372" i="9" s="1"/>
  <c r="Q372" i="9"/>
  <c r="O372" i="9"/>
  <c r="M372" i="9"/>
  <c r="K372" i="9"/>
  <c r="I372" i="9"/>
  <c r="G372" i="9"/>
  <c r="R371" i="9"/>
  <c r="S371" i="9" s="1"/>
  <c r="Q371" i="9"/>
  <c r="O371" i="9"/>
  <c r="M371" i="9"/>
  <c r="K371" i="9"/>
  <c r="I371" i="9"/>
  <c r="G371" i="9"/>
  <c r="S370" i="9"/>
  <c r="Q370" i="9"/>
  <c r="O370" i="9"/>
  <c r="M370" i="9"/>
  <c r="K370" i="9"/>
  <c r="I370" i="9"/>
  <c r="G370" i="9"/>
  <c r="S369" i="9"/>
  <c r="Q369" i="9"/>
  <c r="O369" i="9"/>
  <c r="M369" i="9"/>
  <c r="K369" i="9"/>
  <c r="I369" i="9"/>
  <c r="G369" i="9"/>
  <c r="S368" i="9"/>
  <c r="Q368" i="9"/>
  <c r="O368" i="9"/>
  <c r="M368" i="9"/>
  <c r="K368" i="9"/>
  <c r="I368" i="9"/>
  <c r="G368" i="9"/>
  <c r="S367" i="9"/>
  <c r="Q367" i="9"/>
  <c r="O367" i="9"/>
  <c r="M367" i="9"/>
  <c r="K367" i="9"/>
  <c r="I367" i="9"/>
  <c r="G367" i="9"/>
  <c r="R366" i="9"/>
  <c r="S366" i="9" s="1"/>
  <c r="Q366" i="9"/>
  <c r="O366" i="9"/>
  <c r="M366" i="9"/>
  <c r="K366" i="9"/>
  <c r="I366" i="9"/>
  <c r="G366" i="9"/>
  <c r="R365" i="9"/>
  <c r="S365" i="9" s="1"/>
  <c r="Q365" i="9"/>
  <c r="O365" i="9"/>
  <c r="M365" i="9"/>
  <c r="K365" i="9"/>
  <c r="I365" i="9"/>
  <c r="G365" i="9"/>
  <c r="R364" i="9"/>
  <c r="S364" i="9" s="1"/>
  <c r="Q364" i="9"/>
  <c r="O364" i="9"/>
  <c r="M364" i="9"/>
  <c r="K364" i="9"/>
  <c r="I364" i="9"/>
  <c r="G364" i="9"/>
  <c r="R363" i="9"/>
  <c r="S363" i="9" s="1"/>
  <c r="Q363" i="9"/>
  <c r="O363" i="9"/>
  <c r="M363" i="9"/>
  <c r="K363" i="9"/>
  <c r="I363" i="9"/>
  <c r="G363" i="9"/>
  <c r="R362" i="9"/>
  <c r="S362" i="9" s="1"/>
  <c r="Q362" i="9"/>
  <c r="O362" i="9"/>
  <c r="M362" i="9"/>
  <c r="K362" i="9"/>
  <c r="I362" i="9"/>
  <c r="G362" i="9"/>
  <c r="R361" i="9"/>
  <c r="S361" i="9" s="1"/>
  <c r="Q361" i="9"/>
  <c r="O361" i="9"/>
  <c r="M361" i="9"/>
  <c r="K361" i="9"/>
  <c r="I361" i="9"/>
  <c r="G361" i="9"/>
  <c r="R360" i="9"/>
  <c r="S360" i="9" s="1"/>
  <c r="Q360" i="9"/>
  <c r="O360" i="9"/>
  <c r="M360" i="9"/>
  <c r="K360" i="9"/>
  <c r="I360" i="9"/>
  <c r="G360" i="9"/>
  <c r="R359" i="9"/>
  <c r="S359" i="9" s="1"/>
  <c r="Q359" i="9"/>
  <c r="O359" i="9"/>
  <c r="M359" i="9"/>
  <c r="K359" i="9"/>
  <c r="I359" i="9"/>
  <c r="G359" i="9"/>
  <c r="R358" i="9"/>
  <c r="S358" i="9" s="1"/>
  <c r="Q358" i="9"/>
  <c r="O358" i="9"/>
  <c r="M358" i="9"/>
  <c r="K358" i="9"/>
  <c r="I358" i="9"/>
  <c r="G358" i="9"/>
  <c r="R357" i="9"/>
  <c r="S357" i="9" s="1"/>
  <c r="Q357" i="9"/>
  <c r="O357" i="9"/>
  <c r="M357" i="9"/>
  <c r="K357" i="9"/>
  <c r="I357" i="9"/>
  <c r="G357" i="9"/>
  <c r="R356" i="9"/>
  <c r="S356" i="9" s="1"/>
  <c r="Q356" i="9"/>
  <c r="O356" i="9"/>
  <c r="M356" i="9"/>
  <c r="K356" i="9"/>
  <c r="I356" i="9"/>
  <c r="G356" i="9"/>
  <c r="R355" i="9"/>
  <c r="S355" i="9" s="1"/>
  <c r="Q355" i="9"/>
  <c r="O355" i="9"/>
  <c r="M355" i="9"/>
  <c r="K355" i="9"/>
  <c r="I355" i="9"/>
  <c r="G355" i="9"/>
  <c r="R354" i="9"/>
  <c r="S354" i="9" s="1"/>
  <c r="Q354" i="9"/>
  <c r="O354" i="9"/>
  <c r="M354" i="9"/>
  <c r="K354" i="9"/>
  <c r="I354" i="9"/>
  <c r="G354" i="9"/>
  <c r="R353" i="9"/>
  <c r="S353" i="9" s="1"/>
  <c r="Q353" i="9"/>
  <c r="O353" i="9"/>
  <c r="M353" i="9"/>
  <c r="K353" i="9"/>
  <c r="I353" i="9"/>
  <c r="G353" i="9"/>
  <c r="R352" i="9"/>
  <c r="S352" i="9" s="1"/>
  <c r="Q352" i="9"/>
  <c r="O352" i="9"/>
  <c r="M352" i="9"/>
  <c r="K352" i="9"/>
  <c r="I352" i="9"/>
  <c r="G352" i="9"/>
  <c r="R351" i="9"/>
  <c r="S351" i="9" s="1"/>
  <c r="Q351" i="9"/>
  <c r="O351" i="9"/>
  <c r="M351" i="9"/>
  <c r="K351" i="9"/>
  <c r="I351" i="9"/>
  <c r="G351" i="9"/>
  <c r="R350" i="9"/>
  <c r="S350" i="9" s="1"/>
  <c r="Q350" i="9"/>
  <c r="O350" i="9"/>
  <c r="M350" i="9"/>
  <c r="K350" i="9"/>
  <c r="I350" i="9"/>
  <c r="G350" i="9"/>
  <c r="R349" i="9"/>
  <c r="S349" i="9" s="1"/>
  <c r="Q349" i="9"/>
  <c r="O349" i="9"/>
  <c r="M349" i="9"/>
  <c r="K349" i="9"/>
  <c r="I349" i="9"/>
  <c r="G349" i="9"/>
  <c r="R348" i="9"/>
  <c r="S348" i="9" s="1"/>
  <c r="Q348" i="9"/>
  <c r="O348" i="9"/>
  <c r="M348" i="9"/>
  <c r="K348" i="9"/>
  <c r="I348" i="9"/>
  <c r="G348" i="9"/>
  <c r="R347" i="9"/>
  <c r="S347" i="9" s="1"/>
  <c r="Q347" i="9"/>
  <c r="O347" i="9"/>
  <c r="M347" i="9"/>
  <c r="K347" i="9"/>
  <c r="I347" i="9"/>
  <c r="G347" i="9"/>
  <c r="R346" i="9"/>
  <c r="S346" i="9" s="1"/>
  <c r="Q346" i="9"/>
  <c r="O346" i="9"/>
  <c r="M346" i="9"/>
  <c r="K346" i="9"/>
  <c r="I346" i="9"/>
  <c r="G346" i="9"/>
  <c r="S345" i="9"/>
  <c r="Q345" i="9"/>
  <c r="O345" i="9"/>
  <c r="M345" i="9"/>
  <c r="K345" i="9"/>
  <c r="I345" i="9"/>
  <c r="G345" i="9"/>
  <c r="S344" i="9"/>
  <c r="Q344" i="9"/>
  <c r="O344" i="9"/>
  <c r="M344" i="9"/>
  <c r="K344" i="9"/>
  <c r="I344" i="9"/>
  <c r="G344" i="9"/>
  <c r="R343" i="9"/>
  <c r="S343" i="9" s="1"/>
  <c r="Q343" i="9"/>
  <c r="O343" i="9"/>
  <c r="M343" i="9"/>
  <c r="K343" i="9"/>
  <c r="I343" i="9"/>
  <c r="G343" i="9"/>
  <c r="R342" i="9"/>
  <c r="S342" i="9" s="1"/>
  <c r="Q342" i="9"/>
  <c r="O342" i="9"/>
  <c r="M342" i="9"/>
  <c r="K342" i="9"/>
  <c r="I342" i="9"/>
  <c r="G342" i="9"/>
  <c r="R341" i="9"/>
  <c r="S341" i="9" s="1"/>
  <c r="Q341" i="9"/>
  <c r="O341" i="9"/>
  <c r="M341" i="9"/>
  <c r="K341" i="9"/>
  <c r="I341" i="9"/>
  <c r="G341" i="9"/>
  <c r="R340" i="9"/>
  <c r="S340" i="9" s="1"/>
  <c r="Q340" i="9"/>
  <c r="O340" i="9"/>
  <c r="M340" i="9"/>
  <c r="K340" i="9"/>
  <c r="I340" i="9"/>
  <c r="G340" i="9"/>
  <c r="R339" i="9"/>
  <c r="S339" i="9" s="1"/>
  <c r="Q339" i="9"/>
  <c r="O339" i="9"/>
  <c r="M339" i="9"/>
  <c r="K339" i="9"/>
  <c r="I339" i="9"/>
  <c r="G339" i="9"/>
  <c r="R338" i="9"/>
  <c r="S338" i="9" s="1"/>
  <c r="Q338" i="9"/>
  <c r="O338" i="9"/>
  <c r="M338" i="9"/>
  <c r="K338" i="9"/>
  <c r="I338" i="9"/>
  <c r="G338" i="9"/>
  <c r="R337" i="9"/>
  <c r="S337" i="9" s="1"/>
  <c r="Q337" i="9"/>
  <c r="O337" i="9"/>
  <c r="M337" i="9"/>
  <c r="K337" i="9"/>
  <c r="I337" i="9"/>
  <c r="G337" i="9"/>
  <c r="R336" i="9"/>
  <c r="S336" i="9" s="1"/>
  <c r="Q336" i="9"/>
  <c r="O336" i="9"/>
  <c r="M336" i="9"/>
  <c r="K336" i="9"/>
  <c r="I336" i="9"/>
  <c r="G336" i="9"/>
  <c r="R335" i="9"/>
  <c r="S335" i="9" s="1"/>
  <c r="Q335" i="9"/>
  <c r="O335" i="9"/>
  <c r="M335" i="9"/>
  <c r="K335" i="9"/>
  <c r="I335" i="9"/>
  <c r="G335" i="9"/>
  <c r="R334" i="9"/>
  <c r="S334" i="9" s="1"/>
  <c r="Q334" i="9"/>
  <c r="O334" i="9"/>
  <c r="M334" i="9"/>
  <c r="K334" i="9"/>
  <c r="I334" i="9"/>
  <c r="G334" i="9"/>
  <c r="R333" i="9"/>
  <c r="S333" i="9" s="1"/>
  <c r="Q333" i="9"/>
  <c r="O333" i="9"/>
  <c r="M333" i="9"/>
  <c r="K333" i="9"/>
  <c r="I333" i="9"/>
  <c r="G333" i="9"/>
  <c r="R332" i="9"/>
  <c r="S332" i="9" s="1"/>
  <c r="Q332" i="9"/>
  <c r="O332" i="9"/>
  <c r="M332" i="9"/>
  <c r="K332" i="9"/>
  <c r="I332" i="9"/>
  <c r="G332" i="9"/>
  <c r="R331" i="9"/>
  <c r="S331" i="9" s="1"/>
  <c r="Q331" i="9"/>
  <c r="O331" i="9"/>
  <c r="M331" i="9"/>
  <c r="K331" i="9"/>
  <c r="I331" i="9"/>
  <c r="G331" i="9"/>
  <c r="R330" i="9"/>
  <c r="S330" i="9" s="1"/>
  <c r="Q330" i="9"/>
  <c r="O330" i="9"/>
  <c r="M330" i="9"/>
  <c r="K330" i="9"/>
  <c r="I330" i="9"/>
  <c r="G330" i="9"/>
  <c r="R329" i="9"/>
  <c r="S329" i="9" s="1"/>
  <c r="Q329" i="9"/>
  <c r="O329" i="9"/>
  <c r="M329" i="9"/>
  <c r="K329" i="9"/>
  <c r="I329" i="9"/>
  <c r="G329" i="9"/>
  <c r="R328" i="9"/>
  <c r="S328" i="9" s="1"/>
  <c r="Q328" i="9"/>
  <c r="O328" i="9"/>
  <c r="M328" i="9"/>
  <c r="K328" i="9"/>
  <c r="I328" i="9"/>
  <c r="G328" i="9"/>
  <c r="R327" i="9"/>
  <c r="S327" i="9" s="1"/>
  <c r="Q327" i="9"/>
  <c r="O327" i="9"/>
  <c r="M327" i="9"/>
  <c r="K327" i="9"/>
  <c r="I327" i="9"/>
  <c r="G327" i="9"/>
  <c r="R326" i="9"/>
  <c r="S326" i="9" s="1"/>
  <c r="Q326" i="9"/>
  <c r="O326" i="9"/>
  <c r="M326" i="9"/>
  <c r="K326" i="9"/>
  <c r="I326" i="9"/>
  <c r="G326" i="9"/>
  <c r="R325" i="9"/>
  <c r="S325" i="9" s="1"/>
  <c r="Q325" i="9"/>
  <c r="O325" i="9"/>
  <c r="M325" i="9"/>
  <c r="K325" i="9"/>
  <c r="I325" i="9"/>
  <c r="G325" i="9"/>
  <c r="R324" i="9"/>
  <c r="S324" i="9" s="1"/>
  <c r="Q324" i="9"/>
  <c r="O324" i="9"/>
  <c r="M324" i="9"/>
  <c r="K324" i="9"/>
  <c r="I324" i="9"/>
  <c r="G324" i="9"/>
  <c r="R323" i="9"/>
  <c r="S323" i="9" s="1"/>
  <c r="Q323" i="9"/>
  <c r="O323" i="9"/>
  <c r="M323" i="9"/>
  <c r="K323" i="9"/>
  <c r="I323" i="9"/>
  <c r="G323" i="9"/>
  <c r="R322" i="9"/>
  <c r="S322" i="9" s="1"/>
  <c r="Q322" i="9"/>
  <c r="O322" i="9"/>
  <c r="M322" i="9"/>
  <c r="K322" i="9"/>
  <c r="I322" i="9"/>
  <c r="G322" i="9"/>
  <c r="R321" i="9"/>
  <c r="S321" i="9" s="1"/>
  <c r="Q321" i="9"/>
  <c r="O321" i="9"/>
  <c r="M321" i="9"/>
  <c r="K321" i="9"/>
  <c r="I321" i="9"/>
  <c r="G321" i="9"/>
  <c r="R320" i="9"/>
  <c r="S320" i="9" s="1"/>
  <c r="Q320" i="9"/>
  <c r="O320" i="9"/>
  <c r="M320" i="9"/>
  <c r="K320" i="9"/>
  <c r="I320" i="9"/>
  <c r="G320" i="9"/>
  <c r="R319" i="9"/>
  <c r="S319" i="9" s="1"/>
  <c r="Q319" i="9"/>
  <c r="O319" i="9"/>
  <c r="M319" i="9"/>
  <c r="K319" i="9"/>
  <c r="I319" i="9"/>
  <c r="G319" i="9"/>
  <c r="R318" i="9"/>
  <c r="S318" i="9" s="1"/>
  <c r="Q318" i="9"/>
  <c r="O318" i="9"/>
  <c r="M318" i="9"/>
  <c r="K318" i="9"/>
  <c r="I318" i="9"/>
  <c r="G318" i="9"/>
  <c r="R317" i="9"/>
  <c r="S317" i="9" s="1"/>
  <c r="Q317" i="9"/>
  <c r="O317" i="9"/>
  <c r="M317" i="9"/>
  <c r="K317" i="9"/>
  <c r="I317" i="9"/>
  <c r="G317" i="9"/>
  <c r="R316" i="9"/>
  <c r="S316" i="9" s="1"/>
  <c r="Q316" i="9"/>
  <c r="O316" i="9"/>
  <c r="M316" i="9"/>
  <c r="K316" i="9"/>
  <c r="I316" i="9"/>
  <c r="G316" i="9"/>
  <c r="R315" i="9"/>
  <c r="S315" i="9" s="1"/>
  <c r="Q315" i="9"/>
  <c r="O315" i="9"/>
  <c r="M315" i="9"/>
  <c r="K315" i="9"/>
  <c r="I315" i="9"/>
  <c r="G315" i="9"/>
  <c r="R314" i="9"/>
  <c r="S314" i="9" s="1"/>
  <c r="Q314" i="9"/>
  <c r="O314" i="9"/>
  <c r="M314" i="9"/>
  <c r="K314" i="9"/>
  <c r="I314" i="9"/>
  <c r="G314" i="9"/>
  <c r="R313" i="9"/>
  <c r="S313" i="9" s="1"/>
  <c r="Q313" i="9"/>
  <c r="O313" i="9"/>
  <c r="M313" i="9"/>
  <c r="K313" i="9"/>
  <c r="I313" i="9"/>
  <c r="G313" i="9"/>
  <c r="R312" i="9"/>
  <c r="S312" i="9" s="1"/>
  <c r="Q312" i="9"/>
  <c r="O312" i="9"/>
  <c r="M312" i="9"/>
  <c r="K312" i="9"/>
  <c r="I312" i="9"/>
  <c r="G312" i="9"/>
  <c r="R311" i="9"/>
  <c r="S311" i="9" s="1"/>
  <c r="Q311" i="9"/>
  <c r="O311" i="9"/>
  <c r="M311" i="9"/>
  <c r="K311" i="9"/>
  <c r="I311" i="9"/>
  <c r="G311" i="9"/>
  <c r="R310" i="9"/>
  <c r="S310" i="9" s="1"/>
  <c r="Q310" i="9"/>
  <c r="O310" i="9"/>
  <c r="M310" i="9"/>
  <c r="K310" i="9"/>
  <c r="I310" i="9"/>
  <c r="G310" i="9"/>
  <c r="R309" i="9"/>
  <c r="S309" i="9" s="1"/>
  <c r="Q309" i="9"/>
  <c r="O309" i="9"/>
  <c r="M309" i="9"/>
  <c r="K309" i="9"/>
  <c r="I309" i="9"/>
  <c r="G309" i="9"/>
  <c r="R308" i="9"/>
  <c r="S308" i="9" s="1"/>
  <c r="Q308" i="9"/>
  <c r="O308" i="9"/>
  <c r="M308" i="9"/>
  <c r="K308" i="9"/>
  <c r="I308" i="9"/>
  <c r="G308" i="9"/>
  <c r="R307" i="9"/>
  <c r="S307" i="9" s="1"/>
  <c r="Q307" i="9"/>
  <c r="O307" i="9"/>
  <c r="M307" i="9"/>
  <c r="K307" i="9"/>
  <c r="I307" i="9"/>
  <c r="G307" i="9"/>
  <c r="R306" i="9"/>
  <c r="S306" i="9" s="1"/>
  <c r="Q306" i="9"/>
  <c r="O306" i="9"/>
  <c r="M306" i="9"/>
  <c r="K306" i="9"/>
  <c r="I306" i="9"/>
  <c r="G306" i="9"/>
  <c r="S305" i="9"/>
  <c r="Q305" i="9"/>
  <c r="O305" i="9"/>
  <c r="M305" i="9"/>
  <c r="K305" i="9"/>
  <c r="I305" i="9"/>
  <c r="G305" i="9"/>
  <c r="S304" i="9"/>
  <c r="Q304" i="9"/>
  <c r="O304" i="9"/>
  <c r="M304" i="9"/>
  <c r="K304" i="9"/>
  <c r="I304" i="9"/>
  <c r="G304" i="9"/>
  <c r="R303" i="9"/>
  <c r="S303" i="9" s="1"/>
  <c r="Q303" i="9"/>
  <c r="O303" i="9"/>
  <c r="M303" i="9"/>
  <c r="K303" i="9"/>
  <c r="I303" i="9"/>
  <c r="G303" i="9"/>
  <c r="S302" i="9"/>
  <c r="Q302" i="9"/>
  <c r="O302" i="9"/>
  <c r="M302" i="9"/>
  <c r="K302" i="9"/>
  <c r="I302" i="9"/>
  <c r="G302" i="9"/>
  <c r="R301" i="9"/>
  <c r="S301" i="9" s="1"/>
  <c r="Q301" i="9"/>
  <c r="O301" i="9"/>
  <c r="M301" i="9"/>
  <c r="K301" i="9"/>
  <c r="I301" i="9"/>
  <c r="G301" i="9"/>
  <c r="R300" i="9"/>
  <c r="S300" i="9" s="1"/>
  <c r="Q300" i="9"/>
  <c r="O300" i="9"/>
  <c r="M300" i="9"/>
  <c r="K300" i="9"/>
  <c r="I300" i="9"/>
  <c r="G300" i="9"/>
  <c r="R299" i="9"/>
  <c r="S299" i="9" s="1"/>
  <c r="Q299" i="9"/>
  <c r="O299" i="9"/>
  <c r="M299" i="9"/>
  <c r="K299" i="9"/>
  <c r="I299" i="9"/>
  <c r="G299" i="9"/>
  <c r="R298" i="9"/>
  <c r="S298" i="9" s="1"/>
  <c r="Q298" i="9"/>
  <c r="O298" i="9"/>
  <c r="M298" i="9"/>
  <c r="K298" i="9"/>
  <c r="I298" i="9"/>
  <c r="G298" i="9"/>
  <c r="R297" i="9"/>
  <c r="S297" i="9" s="1"/>
  <c r="Q297" i="9"/>
  <c r="O297" i="9"/>
  <c r="M297" i="9"/>
  <c r="K297" i="9"/>
  <c r="I297" i="9"/>
  <c r="G297" i="9"/>
  <c r="R296" i="9"/>
  <c r="S296" i="9" s="1"/>
  <c r="Q296" i="9"/>
  <c r="O296" i="9"/>
  <c r="M296" i="9"/>
  <c r="K296" i="9"/>
  <c r="I296" i="9"/>
  <c r="G296" i="9"/>
  <c r="S295" i="9"/>
  <c r="Q295" i="9"/>
  <c r="O295" i="9"/>
  <c r="M295" i="9"/>
  <c r="K295" i="9"/>
  <c r="I295" i="9"/>
  <c r="G295" i="9"/>
  <c r="R294" i="9"/>
  <c r="S294" i="9" s="1"/>
  <c r="Q294" i="9"/>
  <c r="O294" i="9"/>
  <c r="M294" i="9"/>
  <c r="K294" i="9"/>
  <c r="I294" i="9"/>
  <c r="G294" i="9"/>
  <c r="R293" i="9"/>
  <c r="S293" i="9" s="1"/>
  <c r="Q293" i="9"/>
  <c r="O293" i="9"/>
  <c r="M293" i="9"/>
  <c r="K293" i="9"/>
  <c r="I293" i="9"/>
  <c r="G293" i="9"/>
  <c r="R292" i="9"/>
  <c r="S292" i="9" s="1"/>
  <c r="Q292" i="9"/>
  <c r="O292" i="9"/>
  <c r="M292" i="9"/>
  <c r="K292" i="9"/>
  <c r="I292" i="9"/>
  <c r="G292" i="9"/>
  <c r="R291" i="9"/>
  <c r="S291" i="9" s="1"/>
  <c r="Q291" i="9"/>
  <c r="O291" i="9"/>
  <c r="M291" i="9"/>
  <c r="K291" i="9"/>
  <c r="I291" i="9"/>
  <c r="G291" i="9"/>
  <c r="R290" i="9"/>
  <c r="S290" i="9" s="1"/>
  <c r="Q290" i="9"/>
  <c r="O290" i="9"/>
  <c r="M290" i="9"/>
  <c r="K290" i="9"/>
  <c r="I290" i="9"/>
  <c r="G290" i="9"/>
  <c r="R289" i="9"/>
  <c r="S289" i="9" s="1"/>
  <c r="Q289" i="9"/>
  <c r="O289" i="9"/>
  <c r="M289" i="9"/>
  <c r="K289" i="9"/>
  <c r="I289" i="9"/>
  <c r="G289" i="9"/>
  <c r="R288" i="9"/>
  <c r="S288" i="9" s="1"/>
  <c r="Q288" i="9"/>
  <c r="O288" i="9"/>
  <c r="M288" i="9"/>
  <c r="K288" i="9"/>
  <c r="I288" i="9"/>
  <c r="G288" i="9"/>
  <c r="R287" i="9"/>
  <c r="S287" i="9" s="1"/>
  <c r="Q287" i="9"/>
  <c r="O287" i="9"/>
  <c r="M287" i="9"/>
  <c r="K287" i="9"/>
  <c r="I287" i="9"/>
  <c r="G287" i="9"/>
  <c r="R286" i="9"/>
  <c r="S286" i="9" s="1"/>
  <c r="Q286" i="9"/>
  <c r="O286" i="9"/>
  <c r="M286" i="9"/>
  <c r="K286" i="9"/>
  <c r="I286" i="9"/>
  <c r="G286" i="9"/>
  <c r="R285" i="9"/>
  <c r="S285" i="9" s="1"/>
  <c r="Q285" i="9"/>
  <c r="O285" i="9"/>
  <c r="M285" i="9"/>
  <c r="K285" i="9"/>
  <c r="I285" i="9"/>
  <c r="G285" i="9"/>
  <c r="R284" i="9"/>
  <c r="S284" i="9" s="1"/>
  <c r="Q284" i="9"/>
  <c r="O284" i="9"/>
  <c r="M284" i="9"/>
  <c r="K284" i="9"/>
  <c r="I284" i="9"/>
  <c r="G284" i="9"/>
  <c r="R283" i="9"/>
  <c r="S283" i="9" s="1"/>
  <c r="Q283" i="9"/>
  <c r="O283" i="9"/>
  <c r="M283" i="9"/>
  <c r="K283" i="9"/>
  <c r="I283" i="9"/>
  <c r="G283" i="9"/>
  <c r="R282" i="9"/>
  <c r="S282" i="9" s="1"/>
  <c r="Q282" i="9"/>
  <c r="O282" i="9"/>
  <c r="M282" i="9"/>
  <c r="K282" i="9"/>
  <c r="I282" i="9"/>
  <c r="G282" i="9"/>
  <c r="R281" i="9"/>
  <c r="S281" i="9" s="1"/>
  <c r="Q281" i="9"/>
  <c r="O281" i="9"/>
  <c r="M281" i="9"/>
  <c r="K281" i="9"/>
  <c r="I281" i="9"/>
  <c r="G281" i="9"/>
  <c r="R280" i="9"/>
  <c r="S280" i="9" s="1"/>
  <c r="Q280" i="9"/>
  <c r="O280" i="9"/>
  <c r="M280" i="9"/>
  <c r="K280" i="9"/>
  <c r="I280" i="9"/>
  <c r="G280" i="9"/>
  <c r="S279" i="9"/>
  <c r="Q279" i="9"/>
  <c r="O279" i="9"/>
  <c r="M279" i="9"/>
  <c r="K279" i="9"/>
  <c r="I279" i="9"/>
  <c r="G279" i="9"/>
  <c r="R278" i="9"/>
  <c r="S278" i="9" s="1"/>
  <c r="Q278" i="9"/>
  <c r="O278" i="9"/>
  <c r="M278" i="9"/>
  <c r="K278" i="9"/>
  <c r="I278" i="9"/>
  <c r="G278" i="9"/>
  <c r="R277" i="9"/>
  <c r="S277" i="9" s="1"/>
  <c r="Q277" i="9"/>
  <c r="O277" i="9"/>
  <c r="M277" i="9"/>
  <c r="K277" i="9"/>
  <c r="I277" i="9"/>
  <c r="G277" i="9"/>
  <c r="R276" i="9"/>
  <c r="S276" i="9" s="1"/>
  <c r="Q276" i="9"/>
  <c r="O276" i="9"/>
  <c r="M276" i="9"/>
  <c r="K276" i="9"/>
  <c r="I276" i="9"/>
  <c r="G276" i="9"/>
  <c r="R275" i="9"/>
  <c r="S275" i="9" s="1"/>
  <c r="Q275" i="9"/>
  <c r="O275" i="9"/>
  <c r="M275" i="9"/>
  <c r="K275" i="9"/>
  <c r="I275" i="9"/>
  <c r="G275" i="9"/>
  <c r="R274" i="9"/>
  <c r="S274" i="9" s="1"/>
  <c r="Q274" i="9"/>
  <c r="O274" i="9"/>
  <c r="M274" i="9"/>
  <c r="K274" i="9"/>
  <c r="I274" i="9"/>
  <c r="G274" i="9"/>
  <c r="R273" i="9"/>
  <c r="S273" i="9" s="1"/>
  <c r="Q273" i="9"/>
  <c r="O273" i="9"/>
  <c r="M273" i="9"/>
  <c r="K273" i="9"/>
  <c r="I273" i="9"/>
  <c r="G273" i="9"/>
  <c r="R272" i="9"/>
  <c r="S272" i="9" s="1"/>
  <c r="Q272" i="9"/>
  <c r="O272" i="9"/>
  <c r="M272" i="9"/>
  <c r="K272" i="9"/>
  <c r="I272" i="9"/>
  <c r="G272" i="9"/>
  <c r="R271" i="9"/>
  <c r="S271" i="9" s="1"/>
  <c r="Q271" i="9"/>
  <c r="O271" i="9"/>
  <c r="M271" i="9"/>
  <c r="K271" i="9"/>
  <c r="I271" i="9"/>
  <c r="G271" i="9"/>
  <c r="R270" i="9"/>
  <c r="S270" i="9" s="1"/>
  <c r="Q270" i="9"/>
  <c r="O270" i="9"/>
  <c r="M270" i="9"/>
  <c r="K270" i="9"/>
  <c r="I270" i="9"/>
  <c r="G270" i="9"/>
  <c r="R269" i="9"/>
  <c r="S269" i="9" s="1"/>
  <c r="Q269" i="9"/>
  <c r="O269" i="9"/>
  <c r="M269" i="9"/>
  <c r="K269" i="9"/>
  <c r="I269" i="9"/>
  <c r="G269" i="9"/>
  <c r="R268" i="9"/>
  <c r="S268" i="9" s="1"/>
  <c r="Q268" i="9"/>
  <c r="O268" i="9"/>
  <c r="M268" i="9"/>
  <c r="K268" i="9"/>
  <c r="I268" i="9"/>
  <c r="G268" i="9"/>
  <c r="R267" i="9"/>
  <c r="S267" i="9" s="1"/>
  <c r="Q267" i="9"/>
  <c r="O267" i="9"/>
  <c r="M267" i="9"/>
  <c r="K267" i="9"/>
  <c r="I267" i="9"/>
  <c r="G267" i="9"/>
  <c r="S266" i="9"/>
  <c r="Q266" i="9"/>
  <c r="O266" i="9"/>
  <c r="M266" i="9"/>
  <c r="K266" i="9"/>
  <c r="I266" i="9"/>
  <c r="G266" i="9"/>
  <c r="S265" i="9"/>
  <c r="Q265" i="9"/>
  <c r="O265" i="9"/>
  <c r="M265" i="9"/>
  <c r="K265" i="9"/>
  <c r="I265" i="9"/>
  <c r="G265" i="9"/>
  <c r="S264" i="9"/>
  <c r="Q264" i="9"/>
  <c r="O264" i="9"/>
  <c r="M264" i="9"/>
  <c r="K264" i="9"/>
  <c r="I264" i="9"/>
  <c r="G264" i="9"/>
  <c r="S263" i="9"/>
  <c r="Q263" i="9"/>
  <c r="O263" i="9"/>
  <c r="M263" i="9"/>
  <c r="K263" i="9"/>
  <c r="I263" i="9"/>
  <c r="G263" i="9"/>
  <c r="R262" i="9"/>
  <c r="S262" i="9" s="1"/>
  <c r="Q262" i="9"/>
  <c r="O262" i="9"/>
  <c r="M262" i="9"/>
  <c r="K262" i="9"/>
  <c r="I262" i="9"/>
  <c r="G262" i="9"/>
  <c r="R261" i="9"/>
  <c r="S261" i="9" s="1"/>
  <c r="Q261" i="9"/>
  <c r="O261" i="9"/>
  <c r="M261" i="9"/>
  <c r="K261" i="9"/>
  <c r="I261" i="9"/>
  <c r="G261" i="9"/>
  <c r="R260" i="9"/>
  <c r="S260" i="9" s="1"/>
  <c r="Q260" i="9"/>
  <c r="O260" i="9"/>
  <c r="M260" i="9"/>
  <c r="K260" i="9"/>
  <c r="I260" i="9"/>
  <c r="G260" i="9"/>
  <c r="R259" i="9"/>
  <c r="S259" i="9" s="1"/>
  <c r="Q259" i="9"/>
  <c r="O259" i="9"/>
  <c r="M259" i="9"/>
  <c r="K259" i="9"/>
  <c r="I259" i="9"/>
  <c r="G259" i="9"/>
  <c r="R258" i="9"/>
  <c r="S258" i="9" s="1"/>
  <c r="Q258" i="9"/>
  <c r="O258" i="9"/>
  <c r="M258" i="9"/>
  <c r="K258" i="9"/>
  <c r="I258" i="9"/>
  <c r="G258" i="9"/>
  <c r="S257" i="9"/>
  <c r="Q257" i="9"/>
  <c r="O257" i="9"/>
  <c r="M257" i="9"/>
  <c r="K257" i="9"/>
  <c r="I257" i="9"/>
  <c r="G257" i="9"/>
  <c r="S256" i="9"/>
  <c r="Q256" i="9"/>
  <c r="O256" i="9"/>
  <c r="M256" i="9"/>
  <c r="K256" i="9"/>
  <c r="I256" i="9"/>
  <c r="G256" i="9"/>
  <c r="R255" i="9"/>
  <c r="S255" i="9" s="1"/>
  <c r="Q255" i="9"/>
  <c r="O255" i="9"/>
  <c r="M255" i="9"/>
  <c r="K255" i="9"/>
  <c r="I255" i="9"/>
  <c r="G255" i="9"/>
  <c r="S254" i="9"/>
  <c r="Q254" i="9"/>
  <c r="O254" i="9"/>
  <c r="M254" i="9"/>
  <c r="K254" i="9"/>
  <c r="I254" i="9"/>
  <c r="G254" i="9"/>
  <c r="R253" i="9"/>
  <c r="S253" i="9" s="1"/>
  <c r="Q253" i="9"/>
  <c r="O253" i="9"/>
  <c r="M253" i="9"/>
  <c r="K253" i="9"/>
  <c r="I253" i="9"/>
  <c r="G253" i="9"/>
  <c r="R252" i="9"/>
  <c r="S252" i="9" s="1"/>
  <c r="Q252" i="9"/>
  <c r="O252" i="9"/>
  <c r="M252" i="9"/>
  <c r="K252" i="9"/>
  <c r="I252" i="9"/>
  <c r="G252" i="9"/>
  <c r="R251" i="9"/>
  <c r="S251" i="9" s="1"/>
  <c r="Q251" i="9"/>
  <c r="O251" i="9"/>
  <c r="M251" i="9"/>
  <c r="K251" i="9"/>
  <c r="I251" i="9"/>
  <c r="G251" i="9"/>
  <c r="R250" i="9"/>
  <c r="S250" i="9" s="1"/>
  <c r="Q250" i="9"/>
  <c r="O250" i="9"/>
  <c r="M250" i="9"/>
  <c r="K250" i="9"/>
  <c r="I250" i="9"/>
  <c r="G250" i="9"/>
  <c r="R249" i="9"/>
  <c r="S249" i="9" s="1"/>
  <c r="Q249" i="9"/>
  <c r="O249" i="9"/>
  <c r="M249" i="9"/>
  <c r="K249" i="9"/>
  <c r="I249" i="9"/>
  <c r="G249" i="9"/>
  <c r="S248" i="9"/>
  <c r="Q248" i="9"/>
  <c r="O248" i="9"/>
  <c r="M248" i="9"/>
  <c r="K248" i="9"/>
  <c r="I248" i="9"/>
  <c r="G248" i="9"/>
  <c r="R247" i="9"/>
  <c r="S247" i="9" s="1"/>
  <c r="Q247" i="9"/>
  <c r="O247" i="9"/>
  <c r="M247" i="9"/>
  <c r="K247" i="9"/>
  <c r="I247" i="9"/>
  <c r="G247" i="9"/>
  <c r="R246" i="9"/>
  <c r="S246" i="9" s="1"/>
  <c r="Q246" i="9"/>
  <c r="O246" i="9"/>
  <c r="M246" i="9"/>
  <c r="K246" i="9"/>
  <c r="I246" i="9"/>
  <c r="G246" i="9"/>
  <c r="R245" i="9"/>
  <c r="S245" i="9" s="1"/>
  <c r="Q245" i="9"/>
  <c r="O245" i="9"/>
  <c r="M245" i="9"/>
  <c r="K245" i="9"/>
  <c r="I245" i="9"/>
  <c r="G245" i="9"/>
  <c r="R244" i="9"/>
  <c r="S244" i="9" s="1"/>
  <c r="Q244" i="9"/>
  <c r="O244" i="9"/>
  <c r="M244" i="9"/>
  <c r="K244" i="9"/>
  <c r="I244" i="9"/>
  <c r="G244" i="9"/>
  <c r="R243" i="9"/>
  <c r="S243" i="9" s="1"/>
  <c r="Q243" i="9"/>
  <c r="O243" i="9"/>
  <c r="M243" i="9"/>
  <c r="K243" i="9"/>
  <c r="I243" i="9"/>
  <c r="G243" i="9"/>
  <c r="R242" i="9"/>
  <c r="S242" i="9" s="1"/>
  <c r="Q242" i="9"/>
  <c r="O242" i="9"/>
  <c r="M242" i="9"/>
  <c r="K242" i="9"/>
  <c r="I242" i="9"/>
  <c r="G242" i="9"/>
  <c r="R241" i="9"/>
  <c r="S241" i="9" s="1"/>
  <c r="Q241" i="9"/>
  <c r="O241" i="9"/>
  <c r="M241" i="9"/>
  <c r="K241" i="9"/>
  <c r="I241" i="9"/>
  <c r="G241" i="9"/>
  <c r="R240" i="9"/>
  <c r="S240" i="9" s="1"/>
  <c r="Q240" i="9"/>
  <c r="O240" i="9"/>
  <c r="M240" i="9"/>
  <c r="K240" i="9"/>
  <c r="I240" i="9"/>
  <c r="G240" i="9"/>
  <c r="R239" i="9"/>
  <c r="S239" i="9" s="1"/>
  <c r="Q239" i="9"/>
  <c r="O239" i="9"/>
  <c r="M239" i="9"/>
  <c r="K239" i="9"/>
  <c r="I239" i="9"/>
  <c r="G239" i="9"/>
  <c r="R238" i="9"/>
  <c r="S238" i="9" s="1"/>
  <c r="Q238" i="9"/>
  <c r="O238" i="9"/>
  <c r="M238" i="9"/>
  <c r="K238" i="9"/>
  <c r="I238" i="9"/>
  <c r="G238" i="9"/>
  <c r="R237" i="9"/>
  <c r="S237" i="9" s="1"/>
  <c r="Q237" i="9"/>
  <c r="O237" i="9"/>
  <c r="M237" i="9"/>
  <c r="K237" i="9"/>
  <c r="I237" i="9"/>
  <c r="G237" i="9"/>
  <c r="R236" i="9"/>
  <c r="S236" i="9" s="1"/>
  <c r="Q236" i="9"/>
  <c r="O236" i="9"/>
  <c r="M236" i="9"/>
  <c r="K236" i="9"/>
  <c r="I236" i="9"/>
  <c r="G236" i="9"/>
  <c r="R235" i="9"/>
  <c r="S235" i="9" s="1"/>
  <c r="Q235" i="9"/>
  <c r="O235" i="9"/>
  <c r="M235" i="9"/>
  <c r="K235" i="9"/>
  <c r="I235" i="9"/>
  <c r="G235" i="9"/>
  <c r="S234" i="9"/>
  <c r="Q234" i="9"/>
  <c r="O234" i="9"/>
  <c r="M234" i="9"/>
  <c r="K234" i="9"/>
  <c r="I234" i="9"/>
  <c r="G234" i="9"/>
  <c r="R233" i="9"/>
  <c r="S233" i="9" s="1"/>
  <c r="Q233" i="9"/>
  <c r="O233" i="9"/>
  <c r="M233" i="9"/>
  <c r="K233" i="9"/>
  <c r="I233" i="9"/>
  <c r="G233" i="9"/>
  <c r="S232" i="9"/>
  <c r="Q232" i="9"/>
  <c r="O232" i="9"/>
  <c r="M232" i="9"/>
  <c r="K232" i="9"/>
  <c r="I232" i="9"/>
  <c r="G232" i="9"/>
  <c r="S231" i="9"/>
  <c r="Q231" i="9"/>
  <c r="O231" i="9"/>
  <c r="M231" i="9"/>
  <c r="K231" i="9"/>
  <c r="I231" i="9"/>
  <c r="G231" i="9"/>
  <c r="R230" i="9"/>
  <c r="S230" i="9" s="1"/>
  <c r="Q230" i="9"/>
  <c r="O230" i="9"/>
  <c r="M230" i="9"/>
  <c r="K230" i="9"/>
  <c r="I230" i="9"/>
  <c r="G230" i="9"/>
  <c r="R229" i="9"/>
  <c r="S229" i="9" s="1"/>
  <c r="Q229" i="9"/>
  <c r="O229" i="9"/>
  <c r="M229" i="9"/>
  <c r="K229" i="9"/>
  <c r="I229" i="9"/>
  <c r="G229" i="9"/>
  <c r="R228" i="9"/>
  <c r="S228" i="9" s="1"/>
  <c r="Q228" i="9"/>
  <c r="O228" i="9"/>
  <c r="M228" i="9"/>
  <c r="K228" i="9"/>
  <c r="I228" i="9"/>
  <c r="G228" i="9"/>
  <c r="R227" i="9"/>
  <c r="S227" i="9" s="1"/>
  <c r="Q227" i="9"/>
  <c r="O227" i="9"/>
  <c r="M227" i="9"/>
  <c r="K227" i="9"/>
  <c r="I227" i="9"/>
  <c r="G227" i="9"/>
  <c r="S226" i="9"/>
  <c r="Q226" i="9"/>
  <c r="O226" i="9"/>
  <c r="M226" i="9"/>
  <c r="K226" i="9"/>
  <c r="I226" i="9"/>
  <c r="G226" i="9"/>
  <c r="R225" i="9"/>
  <c r="S225" i="9" s="1"/>
  <c r="Q225" i="9"/>
  <c r="O225" i="9"/>
  <c r="M225" i="9"/>
  <c r="K225" i="9"/>
  <c r="I225" i="9"/>
  <c r="G225" i="9"/>
  <c r="R224" i="9"/>
  <c r="S224" i="9" s="1"/>
  <c r="Q224" i="9"/>
  <c r="O224" i="9"/>
  <c r="M224" i="9"/>
  <c r="K224" i="9"/>
  <c r="I224" i="9"/>
  <c r="G224" i="9"/>
  <c r="R223" i="9"/>
  <c r="S223" i="9" s="1"/>
  <c r="Q223" i="9"/>
  <c r="O223" i="9"/>
  <c r="M223" i="9"/>
  <c r="K223" i="9"/>
  <c r="I223" i="9"/>
  <c r="G223" i="9"/>
  <c r="S222" i="9"/>
  <c r="Q222" i="9"/>
  <c r="O222" i="9"/>
  <c r="M222" i="9"/>
  <c r="K222" i="9"/>
  <c r="I222" i="9"/>
  <c r="G222" i="9"/>
  <c r="R221" i="9"/>
  <c r="S221" i="9" s="1"/>
  <c r="Q221" i="9"/>
  <c r="O221" i="9"/>
  <c r="M221" i="9"/>
  <c r="K221" i="9"/>
  <c r="I221" i="9"/>
  <c r="G221" i="9"/>
  <c r="R220" i="9"/>
  <c r="S220" i="9" s="1"/>
  <c r="Q220" i="9"/>
  <c r="O220" i="9"/>
  <c r="M220" i="9"/>
  <c r="K220" i="9"/>
  <c r="I220" i="9"/>
  <c r="G220" i="9"/>
  <c r="R219" i="9"/>
  <c r="S219" i="9" s="1"/>
  <c r="Q219" i="9"/>
  <c r="O219" i="9"/>
  <c r="M219" i="9"/>
  <c r="K219" i="9"/>
  <c r="I219" i="9"/>
  <c r="G219" i="9"/>
  <c r="R218" i="9"/>
  <c r="S218" i="9" s="1"/>
  <c r="Q218" i="9"/>
  <c r="O218" i="9"/>
  <c r="M218" i="9"/>
  <c r="K218" i="9"/>
  <c r="I218" i="9"/>
  <c r="G218" i="9"/>
  <c r="R217" i="9"/>
  <c r="S217" i="9" s="1"/>
  <c r="Q217" i="9"/>
  <c r="O217" i="9"/>
  <c r="M217" i="9"/>
  <c r="K217" i="9"/>
  <c r="I217" i="9"/>
  <c r="G217" i="9"/>
  <c r="R216" i="9"/>
  <c r="S216" i="9" s="1"/>
  <c r="Q216" i="9"/>
  <c r="O216" i="9"/>
  <c r="M216" i="9"/>
  <c r="K216" i="9"/>
  <c r="I216" i="9"/>
  <c r="G216" i="9"/>
  <c r="R215" i="9"/>
  <c r="S215" i="9" s="1"/>
  <c r="Q215" i="9"/>
  <c r="O215" i="9"/>
  <c r="M215" i="9"/>
  <c r="K215" i="9"/>
  <c r="I215" i="9"/>
  <c r="G215" i="9"/>
  <c r="R214" i="9"/>
  <c r="S214" i="9" s="1"/>
  <c r="Q214" i="9"/>
  <c r="O214" i="9"/>
  <c r="M214" i="9"/>
  <c r="K214" i="9"/>
  <c r="I214" i="9"/>
  <c r="G214" i="9"/>
  <c r="R213" i="9"/>
  <c r="S213" i="9" s="1"/>
  <c r="Q213" i="9"/>
  <c r="O213" i="9"/>
  <c r="M213" i="9"/>
  <c r="K213" i="9"/>
  <c r="I213" i="9"/>
  <c r="G213" i="9"/>
  <c r="R212" i="9"/>
  <c r="S212" i="9" s="1"/>
  <c r="Q212" i="9"/>
  <c r="O212" i="9"/>
  <c r="M212" i="9"/>
  <c r="K212" i="9"/>
  <c r="I212" i="9"/>
  <c r="G212" i="9"/>
  <c r="R211" i="9"/>
  <c r="S211" i="9" s="1"/>
  <c r="Q211" i="9"/>
  <c r="O211" i="9"/>
  <c r="M211" i="9"/>
  <c r="K211" i="9"/>
  <c r="I211" i="9"/>
  <c r="G211" i="9"/>
  <c r="R210" i="9"/>
  <c r="S210" i="9" s="1"/>
  <c r="Q210" i="9"/>
  <c r="O210" i="9"/>
  <c r="M210" i="9"/>
  <c r="K210" i="9"/>
  <c r="I210" i="9"/>
  <c r="G210" i="9"/>
  <c r="R209" i="9"/>
  <c r="S209" i="9" s="1"/>
  <c r="Q209" i="9"/>
  <c r="O209" i="9"/>
  <c r="M209" i="9"/>
  <c r="K209" i="9"/>
  <c r="I209" i="9"/>
  <c r="G209" i="9"/>
  <c r="S208" i="9"/>
  <c r="Q208" i="9"/>
  <c r="O208" i="9"/>
  <c r="M208" i="9"/>
  <c r="K208" i="9"/>
  <c r="I208" i="9"/>
  <c r="G208" i="9"/>
  <c r="R207" i="9"/>
  <c r="S207" i="9" s="1"/>
  <c r="Q207" i="9"/>
  <c r="O207" i="9"/>
  <c r="M207" i="9"/>
  <c r="K207" i="9"/>
  <c r="I207" i="9"/>
  <c r="G207" i="9"/>
  <c r="R206" i="9"/>
  <c r="S206" i="9" s="1"/>
  <c r="Q206" i="9"/>
  <c r="O206" i="9"/>
  <c r="M206" i="9"/>
  <c r="K206" i="9"/>
  <c r="I206" i="9"/>
  <c r="G206" i="9"/>
  <c r="S205" i="9"/>
  <c r="Q205" i="9"/>
  <c r="O205" i="9"/>
  <c r="M205" i="9"/>
  <c r="K205" i="9"/>
  <c r="I205" i="9"/>
  <c r="G205" i="9"/>
  <c r="R204" i="9"/>
  <c r="S204" i="9" s="1"/>
  <c r="Q204" i="9"/>
  <c r="O204" i="9"/>
  <c r="M204" i="9"/>
  <c r="K204" i="9"/>
  <c r="I204" i="9"/>
  <c r="G204" i="9"/>
  <c r="R203" i="9"/>
  <c r="S203" i="9" s="1"/>
  <c r="Q203" i="9"/>
  <c r="O203" i="9"/>
  <c r="M203" i="9"/>
  <c r="K203" i="9"/>
  <c r="I203" i="9"/>
  <c r="G203" i="9"/>
  <c r="S202" i="9"/>
  <c r="Q202" i="9"/>
  <c r="O202" i="9"/>
  <c r="M202" i="9"/>
  <c r="K202" i="9"/>
  <c r="I202" i="9"/>
  <c r="G202" i="9"/>
  <c r="R201" i="9"/>
  <c r="S201" i="9" s="1"/>
  <c r="Q201" i="9"/>
  <c r="O201" i="9"/>
  <c r="M201" i="9"/>
  <c r="K201" i="9"/>
  <c r="I201" i="9"/>
  <c r="G201" i="9"/>
  <c r="S200" i="9"/>
  <c r="Q200" i="9"/>
  <c r="O200" i="9"/>
  <c r="M200" i="9"/>
  <c r="K200" i="9"/>
  <c r="I200" i="9"/>
  <c r="G200" i="9"/>
  <c r="R199" i="9"/>
  <c r="S199" i="9" s="1"/>
  <c r="Q199" i="9"/>
  <c r="O199" i="9"/>
  <c r="M199" i="9"/>
  <c r="K199" i="9"/>
  <c r="I199" i="9"/>
  <c r="G199" i="9"/>
  <c r="R198" i="9"/>
  <c r="S198" i="9" s="1"/>
  <c r="Q198" i="9"/>
  <c r="O198" i="9"/>
  <c r="M198" i="9"/>
  <c r="K198" i="9"/>
  <c r="I198" i="9"/>
  <c r="G198" i="9"/>
  <c r="S197" i="9"/>
  <c r="Q197" i="9"/>
  <c r="O197" i="9"/>
  <c r="M197" i="9"/>
  <c r="K197" i="9"/>
  <c r="I197" i="9"/>
  <c r="G197" i="9"/>
  <c r="S196" i="9"/>
  <c r="Q196" i="9"/>
  <c r="O196" i="9"/>
  <c r="M196" i="9"/>
  <c r="K196" i="9"/>
  <c r="I196" i="9"/>
  <c r="G196" i="9"/>
  <c r="R195" i="9"/>
  <c r="S195" i="9" s="1"/>
  <c r="Q195" i="9"/>
  <c r="O195" i="9"/>
  <c r="M195" i="9"/>
  <c r="K195" i="9"/>
  <c r="I195" i="9"/>
  <c r="G195" i="9"/>
  <c r="R194" i="9"/>
  <c r="S194" i="9" s="1"/>
  <c r="Q194" i="9"/>
  <c r="O194" i="9"/>
  <c r="M194" i="9"/>
  <c r="K194" i="9"/>
  <c r="I194" i="9"/>
  <c r="G194" i="9"/>
  <c r="R193" i="9"/>
  <c r="S193" i="9" s="1"/>
  <c r="Q193" i="9"/>
  <c r="O193" i="9"/>
  <c r="M193" i="9"/>
  <c r="K193" i="9"/>
  <c r="I193" i="9"/>
  <c r="G193" i="9"/>
  <c r="R192" i="9"/>
  <c r="S192" i="9" s="1"/>
  <c r="Q192" i="9"/>
  <c r="O192" i="9"/>
  <c r="M192" i="9"/>
  <c r="K192" i="9"/>
  <c r="I192" i="9"/>
  <c r="G192" i="9"/>
  <c r="R191" i="9"/>
  <c r="S191" i="9" s="1"/>
  <c r="Q191" i="9"/>
  <c r="O191" i="9"/>
  <c r="M191" i="9"/>
  <c r="K191" i="9"/>
  <c r="I191" i="9"/>
  <c r="G191" i="9"/>
  <c r="S190" i="9"/>
  <c r="Q190" i="9"/>
  <c r="O190" i="9"/>
  <c r="M190" i="9"/>
  <c r="K190" i="9"/>
  <c r="I190" i="9"/>
  <c r="G190" i="9"/>
  <c r="S189" i="9"/>
  <c r="Q189" i="9"/>
  <c r="O189" i="9"/>
  <c r="M189" i="9"/>
  <c r="K189" i="9"/>
  <c r="I189" i="9"/>
  <c r="G189" i="9"/>
  <c r="S188" i="9"/>
  <c r="Q188" i="9"/>
  <c r="O188" i="9"/>
  <c r="M188" i="9"/>
  <c r="K188" i="9"/>
  <c r="I188" i="9"/>
  <c r="G188" i="9"/>
  <c r="R187" i="9"/>
  <c r="S187" i="9" s="1"/>
  <c r="Q187" i="9"/>
  <c r="O187" i="9"/>
  <c r="M187" i="9"/>
  <c r="K187" i="9"/>
  <c r="I187" i="9"/>
  <c r="G187" i="9"/>
  <c r="R186" i="9"/>
  <c r="S186" i="9" s="1"/>
  <c r="Q186" i="9"/>
  <c r="O186" i="9"/>
  <c r="M186" i="9"/>
  <c r="K186" i="9"/>
  <c r="I186" i="9"/>
  <c r="G186" i="9"/>
  <c r="S185" i="9"/>
  <c r="Q185" i="9"/>
  <c r="O185" i="9"/>
  <c r="M185" i="9"/>
  <c r="K185" i="9"/>
  <c r="I185" i="9"/>
  <c r="G185" i="9"/>
  <c r="S184" i="9"/>
  <c r="Q184" i="9"/>
  <c r="O184" i="9"/>
  <c r="M184" i="9"/>
  <c r="K184" i="9"/>
  <c r="I184" i="9"/>
  <c r="G184" i="9"/>
  <c r="R183" i="9"/>
  <c r="S183" i="9" s="1"/>
  <c r="Q183" i="9"/>
  <c r="O183" i="9"/>
  <c r="M183" i="9"/>
  <c r="K183" i="9"/>
  <c r="I183" i="9"/>
  <c r="G183" i="9"/>
  <c r="R182" i="9"/>
  <c r="S182" i="9" s="1"/>
  <c r="Q182" i="9"/>
  <c r="O182" i="9"/>
  <c r="M182" i="9"/>
  <c r="K182" i="9"/>
  <c r="I182" i="9"/>
  <c r="G182" i="9"/>
  <c r="R181" i="9"/>
  <c r="S181" i="9" s="1"/>
  <c r="Q181" i="9"/>
  <c r="O181" i="9"/>
  <c r="M181" i="9"/>
  <c r="K181" i="9"/>
  <c r="I181" i="9"/>
  <c r="G181" i="9"/>
  <c r="R180" i="9"/>
  <c r="S180" i="9" s="1"/>
  <c r="Q180" i="9"/>
  <c r="O180" i="9"/>
  <c r="M180" i="9"/>
  <c r="K180" i="9"/>
  <c r="I180" i="9"/>
  <c r="G180" i="9"/>
  <c r="R179" i="9"/>
  <c r="S179" i="9" s="1"/>
  <c r="Q179" i="9"/>
  <c r="O179" i="9"/>
  <c r="M179" i="9"/>
  <c r="K179" i="9"/>
  <c r="I179" i="9"/>
  <c r="G179" i="9"/>
  <c r="R178" i="9"/>
  <c r="S178" i="9" s="1"/>
  <c r="Q178" i="9"/>
  <c r="O178" i="9"/>
  <c r="M178" i="9"/>
  <c r="K178" i="9"/>
  <c r="I178" i="9"/>
  <c r="G178" i="9"/>
  <c r="S177" i="9"/>
  <c r="Q177" i="9"/>
  <c r="O177" i="9"/>
  <c r="M177" i="9"/>
  <c r="K177" i="9"/>
  <c r="I177" i="9"/>
  <c r="G177" i="9"/>
  <c r="R176" i="9"/>
  <c r="S176" i="9" s="1"/>
  <c r="Q176" i="9"/>
  <c r="O176" i="9"/>
  <c r="M176" i="9"/>
  <c r="K176" i="9"/>
  <c r="I176" i="9"/>
  <c r="G176" i="9"/>
  <c r="R175" i="9"/>
  <c r="S175" i="9" s="1"/>
  <c r="Q175" i="9"/>
  <c r="O175" i="9"/>
  <c r="M175" i="9"/>
  <c r="K175" i="9"/>
  <c r="I175" i="9"/>
  <c r="G175" i="9"/>
  <c r="R174" i="9"/>
  <c r="S174" i="9" s="1"/>
  <c r="Q174" i="9"/>
  <c r="O174" i="9"/>
  <c r="M174" i="9"/>
  <c r="K174" i="9"/>
  <c r="I174" i="9"/>
  <c r="G174" i="9"/>
  <c r="R173" i="9"/>
  <c r="S173" i="9" s="1"/>
  <c r="Q173" i="9"/>
  <c r="O173" i="9"/>
  <c r="M173" i="9"/>
  <c r="K173" i="9"/>
  <c r="I173" i="9"/>
  <c r="G173" i="9"/>
  <c r="R172" i="9"/>
  <c r="S172" i="9" s="1"/>
  <c r="Q172" i="9"/>
  <c r="O172" i="9"/>
  <c r="M172" i="9"/>
  <c r="K172" i="9"/>
  <c r="I172" i="9"/>
  <c r="G172" i="9"/>
  <c r="R171" i="9"/>
  <c r="S171" i="9" s="1"/>
  <c r="Q171" i="9"/>
  <c r="O171" i="9"/>
  <c r="M171" i="9"/>
  <c r="K171" i="9"/>
  <c r="I171" i="9"/>
  <c r="G171" i="9"/>
  <c r="R170" i="9"/>
  <c r="S170" i="9" s="1"/>
  <c r="Q170" i="9"/>
  <c r="O170" i="9"/>
  <c r="M170" i="9"/>
  <c r="K170" i="9"/>
  <c r="I170" i="9"/>
  <c r="G170" i="9"/>
  <c r="R169" i="9"/>
  <c r="S169" i="9" s="1"/>
  <c r="Q169" i="9"/>
  <c r="O169" i="9"/>
  <c r="M169" i="9"/>
  <c r="K169" i="9"/>
  <c r="I169" i="9"/>
  <c r="G169" i="9"/>
  <c r="R167" i="9"/>
  <c r="S167" i="9" s="1"/>
  <c r="Q167" i="9"/>
  <c r="O167" i="9"/>
  <c r="M167" i="9"/>
  <c r="K167" i="9"/>
  <c r="I167" i="9"/>
  <c r="G167" i="9"/>
  <c r="R166" i="9"/>
  <c r="S166" i="9" s="1"/>
  <c r="Q166" i="9"/>
  <c r="O166" i="9"/>
  <c r="M166" i="9"/>
  <c r="K166" i="9"/>
  <c r="I166" i="9"/>
  <c r="G166" i="9"/>
  <c r="R165" i="9"/>
  <c r="S165" i="9" s="1"/>
  <c r="Q165" i="9"/>
  <c r="O165" i="9"/>
  <c r="M165" i="9"/>
  <c r="K165" i="9"/>
  <c r="I165" i="9"/>
  <c r="G165" i="9"/>
  <c r="R164" i="9"/>
  <c r="S164" i="9" s="1"/>
  <c r="Q164" i="9"/>
  <c r="O164" i="9"/>
  <c r="M164" i="9"/>
  <c r="K164" i="9"/>
  <c r="I164" i="9"/>
  <c r="G164" i="9"/>
  <c r="R163" i="9"/>
  <c r="S163" i="9" s="1"/>
  <c r="Q163" i="9"/>
  <c r="O163" i="9"/>
  <c r="M163" i="9"/>
  <c r="K163" i="9"/>
  <c r="I163" i="9"/>
  <c r="G163" i="9"/>
  <c r="R162" i="9"/>
  <c r="S162" i="9" s="1"/>
  <c r="Q162" i="9"/>
  <c r="O162" i="9"/>
  <c r="M162" i="9"/>
  <c r="K162" i="9"/>
  <c r="I162" i="9"/>
  <c r="G162" i="9"/>
  <c r="R161" i="9"/>
  <c r="S161" i="9" s="1"/>
  <c r="Q161" i="9"/>
  <c r="O161" i="9"/>
  <c r="M161" i="9"/>
  <c r="K161" i="9"/>
  <c r="I161" i="9"/>
  <c r="G161" i="9"/>
  <c r="R160" i="9"/>
  <c r="S160" i="9" s="1"/>
  <c r="Q160" i="9"/>
  <c r="O160" i="9"/>
  <c r="M160" i="9"/>
  <c r="K160" i="9"/>
  <c r="I160" i="9"/>
  <c r="G160" i="9"/>
  <c r="R159" i="9"/>
  <c r="S159" i="9" s="1"/>
  <c r="Q159" i="9"/>
  <c r="O159" i="9"/>
  <c r="M159" i="9"/>
  <c r="K159" i="9"/>
  <c r="I159" i="9"/>
  <c r="G159" i="9"/>
  <c r="S158" i="9"/>
  <c r="Q158" i="9"/>
  <c r="O158" i="9"/>
  <c r="M158" i="9"/>
  <c r="K158" i="9"/>
  <c r="I158" i="9"/>
  <c r="G158" i="9"/>
  <c r="R157" i="9"/>
  <c r="S157" i="9" s="1"/>
  <c r="Q157" i="9"/>
  <c r="O157" i="9"/>
  <c r="M157" i="9"/>
  <c r="K157" i="9"/>
  <c r="I157" i="9"/>
  <c r="G157" i="9"/>
  <c r="R156" i="9"/>
  <c r="S156" i="9" s="1"/>
  <c r="Q156" i="9"/>
  <c r="O156" i="9"/>
  <c r="M156" i="9"/>
  <c r="K156" i="9"/>
  <c r="I156" i="9"/>
  <c r="G156" i="9"/>
  <c r="S155" i="9"/>
  <c r="Q155" i="9"/>
  <c r="O155" i="9"/>
  <c r="M155" i="9"/>
  <c r="K155" i="9"/>
  <c r="I155" i="9"/>
  <c r="G155" i="9"/>
  <c r="R154" i="9"/>
  <c r="S154" i="9" s="1"/>
  <c r="Q154" i="9"/>
  <c r="O154" i="9"/>
  <c r="M154" i="9"/>
  <c r="K154" i="9"/>
  <c r="I154" i="9"/>
  <c r="G154" i="9"/>
  <c r="R153" i="9"/>
  <c r="S153" i="9" s="1"/>
  <c r="Q153" i="9"/>
  <c r="O153" i="9"/>
  <c r="M153" i="9"/>
  <c r="K153" i="9"/>
  <c r="I153" i="9"/>
  <c r="G153" i="9"/>
  <c r="R152" i="9"/>
  <c r="S152" i="9" s="1"/>
  <c r="Q152" i="9"/>
  <c r="O152" i="9"/>
  <c r="M152" i="9"/>
  <c r="K152" i="9"/>
  <c r="I152" i="9"/>
  <c r="G152" i="9"/>
  <c r="R151" i="9"/>
  <c r="S151" i="9" s="1"/>
  <c r="Q151" i="9"/>
  <c r="O151" i="9"/>
  <c r="M151" i="9"/>
  <c r="K151" i="9"/>
  <c r="I151" i="9"/>
  <c r="G151" i="9"/>
  <c r="R150" i="9"/>
  <c r="S150" i="9" s="1"/>
  <c r="Q150" i="9"/>
  <c r="O150" i="9"/>
  <c r="M150" i="9"/>
  <c r="K150" i="9"/>
  <c r="I150" i="9"/>
  <c r="G150" i="9"/>
  <c r="R149" i="9"/>
  <c r="S149" i="9" s="1"/>
  <c r="Q149" i="9"/>
  <c r="O149" i="9"/>
  <c r="M149" i="9"/>
  <c r="K149" i="9"/>
  <c r="I149" i="9"/>
  <c r="G149" i="9"/>
  <c r="R147" i="9"/>
  <c r="S147" i="9" s="1"/>
  <c r="Q147" i="9"/>
  <c r="O147" i="9"/>
  <c r="M147" i="9"/>
  <c r="K147" i="9"/>
  <c r="I147" i="9"/>
  <c r="G147" i="9"/>
  <c r="R146" i="9"/>
  <c r="S146" i="9" s="1"/>
  <c r="Q146" i="9"/>
  <c r="O146" i="9"/>
  <c r="M146" i="9"/>
  <c r="K146" i="9"/>
  <c r="I146" i="9"/>
  <c r="G146" i="9"/>
  <c r="R145" i="9"/>
  <c r="S145" i="9" s="1"/>
  <c r="Q145" i="9"/>
  <c r="O145" i="9"/>
  <c r="M145" i="9"/>
  <c r="K145" i="9"/>
  <c r="I145" i="9"/>
  <c r="G145" i="9"/>
  <c r="R144" i="9"/>
  <c r="S144" i="9" s="1"/>
  <c r="Q144" i="9"/>
  <c r="O144" i="9"/>
  <c r="M144" i="9"/>
  <c r="K144" i="9"/>
  <c r="I144" i="9"/>
  <c r="G144" i="9"/>
  <c r="R143" i="9"/>
  <c r="S143" i="9" s="1"/>
  <c r="Q143" i="9"/>
  <c r="O143" i="9"/>
  <c r="M143" i="9"/>
  <c r="K143" i="9"/>
  <c r="I143" i="9"/>
  <c r="G143" i="9"/>
  <c r="R142" i="9"/>
  <c r="S142" i="9" s="1"/>
  <c r="Q142" i="9"/>
  <c r="O142" i="9"/>
  <c r="M142" i="9"/>
  <c r="K142" i="9"/>
  <c r="I142" i="9"/>
  <c r="G142" i="9"/>
  <c r="R141" i="9"/>
  <c r="S141" i="9" s="1"/>
  <c r="Q141" i="9"/>
  <c r="O141" i="9"/>
  <c r="M141" i="9"/>
  <c r="K141" i="9"/>
  <c r="I141" i="9"/>
  <c r="G141" i="9"/>
  <c r="R140" i="9"/>
  <c r="S140" i="9" s="1"/>
  <c r="Q140" i="9"/>
  <c r="O140" i="9"/>
  <c r="M140" i="9"/>
  <c r="K140" i="9"/>
  <c r="I140" i="9"/>
  <c r="G140" i="9"/>
  <c r="R139" i="9"/>
  <c r="S139" i="9" s="1"/>
  <c r="Q139" i="9"/>
  <c r="O139" i="9"/>
  <c r="M139" i="9"/>
  <c r="K139" i="9"/>
  <c r="I139" i="9"/>
  <c r="G139" i="9"/>
  <c r="R138" i="9"/>
  <c r="S138" i="9" s="1"/>
  <c r="Q138" i="9"/>
  <c r="O138" i="9"/>
  <c r="M138" i="9"/>
  <c r="K138" i="9"/>
  <c r="I138" i="9"/>
  <c r="G138" i="9"/>
  <c r="R137" i="9"/>
  <c r="S137" i="9" s="1"/>
  <c r="Q137" i="9"/>
  <c r="O137" i="9"/>
  <c r="M137" i="9"/>
  <c r="K137" i="9"/>
  <c r="I137" i="9"/>
  <c r="G137" i="9"/>
  <c r="R136" i="9"/>
  <c r="S136" i="9" s="1"/>
  <c r="Q136" i="9"/>
  <c r="O136" i="9"/>
  <c r="M136" i="9"/>
  <c r="K136" i="9"/>
  <c r="I136" i="9"/>
  <c r="G136" i="9"/>
  <c r="R135" i="9"/>
  <c r="S135" i="9" s="1"/>
  <c r="Q135" i="9"/>
  <c r="O135" i="9"/>
  <c r="M135" i="9"/>
  <c r="K135" i="9"/>
  <c r="I135" i="9"/>
  <c r="G135" i="9"/>
  <c r="R134" i="9"/>
  <c r="S134" i="9" s="1"/>
  <c r="Q134" i="9"/>
  <c r="O134" i="9"/>
  <c r="M134" i="9"/>
  <c r="K134" i="9"/>
  <c r="I134" i="9"/>
  <c r="G134" i="9"/>
  <c r="R133" i="9"/>
  <c r="S133" i="9" s="1"/>
  <c r="Q133" i="9"/>
  <c r="O133" i="9"/>
  <c r="M133" i="9"/>
  <c r="K133" i="9"/>
  <c r="I133" i="9"/>
  <c r="G133" i="9"/>
  <c r="R132" i="9"/>
  <c r="S132" i="9" s="1"/>
  <c r="Q132" i="9"/>
  <c r="O132" i="9"/>
  <c r="M132" i="9"/>
  <c r="K132" i="9"/>
  <c r="I132" i="9"/>
  <c r="G132" i="9"/>
  <c r="R131" i="9"/>
  <c r="S131" i="9" s="1"/>
  <c r="Q131" i="9"/>
  <c r="O131" i="9"/>
  <c r="M131" i="9"/>
  <c r="K131" i="9"/>
  <c r="I131" i="9"/>
  <c r="G131" i="9"/>
  <c r="R130" i="9"/>
  <c r="S130" i="9" s="1"/>
  <c r="Q130" i="9"/>
  <c r="O130" i="9"/>
  <c r="M130" i="9"/>
  <c r="K130" i="9"/>
  <c r="I130" i="9"/>
  <c r="G130" i="9"/>
  <c r="R129" i="9"/>
  <c r="S129" i="9" s="1"/>
  <c r="Q129" i="9"/>
  <c r="O129" i="9"/>
  <c r="M129" i="9"/>
  <c r="K129" i="9"/>
  <c r="I129" i="9"/>
  <c r="G129" i="9"/>
  <c r="R128" i="9"/>
  <c r="S128" i="9" s="1"/>
  <c r="Q128" i="9"/>
  <c r="O128" i="9"/>
  <c r="M128" i="9"/>
  <c r="K128" i="9"/>
  <c r="I128" i="9"/>
  <c r="G128" i="9"/>
  <c r="S127" i="9"/>
  <c r="Q127" i="9"/>
  <c r="O127" i="9"/>
  <c r="M127" i="9"/>
  <c r="K127" i="9"/>
  <c r="I127" i="9"/>
  <c r="G127" i="9"/>
  <c r="R126" i="9"/>
  <c r="S126" i="9" s="1"/>
  <c r="Q126" i="9"/>
  <c r="O126" i="9"/>
  <c r="M126" i="9"/>
  <c r="K126" i="9"/>
  <c r="I126" i="9"/>
  <c r="G126" i="9"/>
  <c r="S125" i="9"/>
  <c r="Q125" i="9"/>
  <c r="O125" i="9"/>
  <c r="M125" i="9"/>
  <c r="K125" i="9"/>
  <c r="I125" i="9"/>
  <c r="G125" i="9"/>
  <c r="R124" i="9"/>
  <c r="S124" i="9" s="1"/>
  <c r="Q124" i="9"/>
  <c r="O124" i="9"/>
  <c r="M124" i="9"/>
  <c r="K124" i="9"/>
  <c r="I124" i="9"/>
  <c r="G124" i="9"/>
  <c r="R123" i="9"/>
  <c r="S123" i="9" s="1"/>
  <c r="Q123" i="9"/>
  <c r="O123" i="9"/>
  <c r="M123" i="9"/>
  <c r="K123" i="9"/>
  <c r="I123" i="9"/>
  <c r="G123" i="9"/>
  <c r="R122" i="9"/>
  <c r="S122" i="9" s="1"/>
  <c r="Q122" i="9"/>
  <c r="O122" i="9"/>
  <c r="M122" i="9"/>
  <c r="K122" i="9"/>
  <c r="I122" i="9"/>
  <c r="G122" i="9"/>
  <c r="R121" i="9"/>
  <c r="S121" i="9" s="1"/>
  <c r="Q121" i="9"/>
  <c r="O121" i="9"/>
  <c r="M121" i="9"/>
  <c r="K121" i="9"/>
  <c r="I121" i="9"/>
  <c r="G121" i="9"/>
  <c r="S120" i="9"/>
  <c r="Q120" i="9"/>
  <c r="O120" i="9"/>
  <c r="M120" i="9"/>
  <c r="K120" i="9"/>
  <c r="I120" i="9"/>
  <c r="G120" i="9"/>
  <c r="R119" i="9"/>
  <c r="S119" i="9" s="1"/>
  <c r="Q119" i="9"/>
  <c r="O119" i="9"/>
  <c r="M119" i="9"/>
  <c r="K119" i="9"/>
  <c r="I119" i="9"/>
  <c r="G119" i="9"/>
  <c r="R118" i="9"/>
  <c r="S118" i="9" s="1"/>
  <c r="Q118" i="9"/>
  <c r="O118" i="9"/>
  <c r="M118" i="9"/>
  <c r="K118" i="9"/>
  <c r="I118" i="9"/>
  <c r="G118" i="9"/>
  <c r="S117" i="9"/>
  <c r="Q117" i="9"/>
  <c r="O117" i="9"/>
  <c r="M117" i="9"/>
  <c r="K117" i="9"/>
  <c r="I117" i="9"/>
  <c r="G117" i="9"/>
  <c r="S116" i="9"/>
  <c r="Q116" i="9"/>
  <c r="O116" i="9"/>
  <c r="M116" i="9"/>
  <c r="K116" i="9"/>
  <c r="I116" i="9"/>
  <c r="G116" i="9"/>
  <c r="R115" i="9"/>
  <c r="S115" i="9" s="1"/>
  <c r="Q115" i="9"/>
  <c r="O115" i="9"/>
  <c r="M115" i="9"/>
  <c r="K115" i="9"/>
  <c r="I115" i="9"/>
  <c r="G115" i="9"/>
  <c r="S114" i="9"/>
  <c r="Q114" i="9"/>
  <c r="O114" i="9"/>
  <c r="M114" i="9"/>
  <c r="K114" i="9"/>
  <c r="I114" i="9"/>
  <c r="G114" i="9"/>
  <c r="R113" i="9"/>
  <c r="S113" i="9" s="1"/>
  <c r="Q113" i="9"/>
  <c r="O113" i="9"/>
  <c r="M113" i="9"/>
  <c r="K113" i="9"/>
  <c r="I113" i="9"/>
  <c r="G113" i="9"/>
  <c r="R112" i="9"/>
  <c r="S112" i="9" s="1"/>
  <c r="Q112" i="9"/>
  <c r="O112" i="9"/>
  <c r="M112" i="9"/>
  <c r="K112" i="9"/>
  <c r="I112" i="9"/>
  <c r="G112" i="9"/>
  <c r="S111" i="9"/>
  <c r="Q111" i="9"/>
  <c r="O111" i="9"/>
  <c r="M111" i="9"/>
  <c r="K111" i="9"/>
  <c r="I111" i="9"/>
  <c r="G111" i="9"/>
  <c r="R110" i="9"/>
  <c r="S110" i="9" s="1"/>
  <c r="Q110" i="9"/>
  <c r="O110" i="9"/>
  <c r="M110" i="9"/>
  <c r="K110" i="9"/>
  <c r="I110" i="9"/>
  <c r="G110" i="9"/>
  <c r="R109" i="9"/>
  <c r="S109" i="9" s="1"/>
  <c r="Q109" i="9"/>
  <c r="O109" i="9"/>
  <c r="M109" i="9"/>
  <c r="K109" i="9"/>
  <c r="I109" i="9"/>
  <c r="G109" i="9"/>
  <c r="R108" i="9"/>
  <c r="S108" i="9" s="1"/>
  <c r="Q108" i="9"/>
  <c r="O108" i="9"/>
  <c r="M108" i="9"/>
  <c r="K108" i="9"/>
  <c r="I108" i="9"/>
  <c r="G108" i="9"/>
  <c r="R107" i="9"/>
  <c r="S107" i="9" s="1"/>
  <c r="Q107" i="9"/>
  <c r="O107" i="9"/>
  <c r="M107" i="9"/>
  <c r="K107" i="9"/>
  <c r="I107" i="9"/>
  <c r="G107" i="9"/>
  <c r="R106" i="9"/>
  <c r="S106" i="9" s="1"/>
  <c r="Q106" i="9"/>
  <c r="O106" i="9"/>
  <c r="M106" i="9"/>
  <c r="K106" i="9"/>
  <c r="I106" i="9"/>
  <c r="G106" i="9"/>
  <c r="R105" i="9"/>
  <c r="S105" i="9" s="1"/>
  <c r="Q105" i="9"/>
  <c r="O105" i="9"/>
  <c r="M105" i="9"/>
  <c r="K105" i="9"/>
  <c r="I105" i="9"/>
  <c r="G105" i="9"/>
  <c r="R104" i="9"/>
  <c r="S104" i="9" s="1"/>
  <c r="Q104" i="9"/>
  <c r="O104" i="9"/>
  <c r="M104" i="9"/>
  <c r="K104" i="9"/>
  <c r="I104" i="9"/>
  <c r="G104" i="9"/>
  <c r="R103" i="9"/>
  <c r="S103" i="9" s="1"/>
  <c r="Q103" i="9"/>
  <c r="O103" i="9"/>
  <c r="M103" i="9"/>
  <c r="K103" i="9"/>
  <c r="I103" i="9"/>
  <c r="G103" i="9"/>
  <c r="R102" i="9"/>
  <c r="S102" i="9" s="1"/>
  <c r="Q102" i="9"/>
  <c r="O102" i="9"/>
  <c r="M102" i="9"/>
  <c r="K102" i="9"/>
  <c r="I102" i="9"/>
  <c r="G102" i="9"/>
  <c r="S101" i="9"/>
  <c r="Q101" i="9"/>
  <c r="O101" i="9"/>
  <c r="M101" i="9"/>
  <c r="K101" i="9"/>
  <c r="I101" i="9"/>
  <c r="G101" i="9"/>
  <c r="R100" i="9"/>
  <c r="S100" i="9" s="1"/>
  <c r="Q100" i="9"/>
  <c r="O100" i="9"/>
  <c r="M100" i="9"/>
  <c r="K100" i="9"/>
  <c r="I100" i="9"/>
  <c r="G100" i="9"/>
  <c r="R99" i="9"/>
  <c r="S99" i="9" s="1"/>
  <c r="Q99" i="9"/>
  <c r="O99" i="9"/>
  <c r="M99" i="9"/>
  <c r="K99" i="9"/>
  <c r="I99" i="9"/>
  <c r="G99" i="9"/>
  <c r="R98" i="9"/>
  <c r="S98" i="9" s="1"/>
  <c r="Q98" i="9"/>
  <c r="O98" i="9"/>
  <c r="M98" i="9"/>
  <c r="K98" i="9"/>
  <c r="I98" i="9"/>
  <c r="G98" i="9"/>
  <c r="R97" i="9"/>
  <c r="S97" i="9" s="1"/>
  <c r="Q97" i="9"/>
  <c r="O97" i="9"/>
  <c r="M97" i="9"/>
  <c r="K97" i="9"/>
  <c r="I97" i="9"/>
  <c r="G97" i="9"/>
  <c r="R96" i="9"/>
  <c r="S96" i="9" s="1"/>
  <c r="Q96" i="9"/>
  <c r="O96" i="9"/>
  <c r="M96" i="9"/>
  <c r="K96" i="9"/>
  <c r="I96" i="9"/>
  <c r="G96" i="9"/>
  <c r="R95" i="9"/>
  <c r="S95" i="9" s="1"/>
  <c r="Q95" i="9"/>
  <c r="O95" i="9"/>
  <c r="M95" i="9"/>
  <c r="K95" i="9"/>
  <c r="I95" i="9"/>
  <c r="G95" i="9"/>
  <c r="R94" i="9"/>
  <c r="S94" i="9" s="1"/>
  <c r="Q94" i="9"/>
  <c r="O94" i="9"/>
  <c r="M94" i="9"/>
  <c r="K94" i="9"/>
  <c r="I94" i="9"/>
  <c r="G94" i="9"/>
  <c r="R93" i="9"/>
  <c r="S93" i="9" s="1"/>
  <c r="Q93" i="9"/>
  <c r="O93" i="9"/>
  <c r="M93" i="9"/>
  <c r="K93" i="9"/>
  <c r="I93" i="9"/>
  <c r="G93" i="9"/>
  <c r="R92" i="9"/>
  <c r="S92" i="9" s="1"/>
  <c r="Q92" i="9"/>
  <c r="O92" i="9"/>
  <c r="M92" i="9"/>
  <c r="K92" i="9"/>
  <c r="I92" i="9"/>
  <c r="G92" i="9"/>
  <c r="R91" i="9"/>
  <c r="S91" i="9" s="1"/>
  <c r="Q91" i="9"/>
  <c r="O91" i="9"/>
  <c r="M91" i="9"/>
  <c r="K91" i="9"/>
  <c r="I91" i="9"/>
  <c r="G91" i="9"/>
  <c r="R90" i="9"/>
  <c r="S90" i="9" s="1"/>
  <c r="Q90" i="9"/>
  <c r="O90" i="9"/>
  <c r="M90" i="9"/>
  <c r="K90" i="9"/>
  <c r="I90" i="9"/>
  <c r="G90" i="9"/>
  <c r="R89" i="9"/>
  <c r="S89" i="9" s="1"/>
  <c r="Q89" i="9"/>
  <c r="O89" i="9"/>
  <c r="M89" i="9"/>
  <c r="K89" i="9"/>
  <c r="I89" i="9"/>
  <c r="G89" i="9"/>
  <c r="R88" i="9"/>
  <c r="S88" i="9" s="1"/>
  <c r="Q88" i="9"/>
  <c r="O88" i="9"/>
  <c r="M88" i="9"/>
  <c r="K88" i="9"/>
  <c r="I88" i="9"/>
  <c r="G88" i="9"/>
  <c r="R87" i="9"/>
  <c r="S87" i="9" s="1"/>
  <c r="Q87" i="9"/>
  <c r="O87" i="9"/>
  <c r="M87" i="9"/>
  <c r="K87" i="9"/>
  <c r="I87" i="9"/>
  <c r="G87" i="9"/>
  <c r="R86" i="9"/>
  <c r="S86" i="9" s="1"/>
  <c r="Q86" i="9"/>
  <c r="O86" i="9"/>
  <c r="M86" i="9"/>
  <c r="K86" i="9"/>
  <c r="I86" i="9"/>
  <c r="G86" i="9"/>
  <c r="R85" i="9"/>
  <c r="S85" i="9" s="1"/>
  <c r="Q85" i="9"/>
  <c r="O85" i="9"/>
  <c r="M85" i="9"/>
  <c r="K85" i="9"/>
  <c r="I85" i="9"/>
  <c r="G85" i="9"/>
  <c r="R84" i="9"/>
  <c r="S84" i="9" s="1"/>
  <c r="Q84" i="9"/>
  <c r="O84" i="9"/>
  <c r="M84" i="9"/>
  <c r="K84" i="9"/>
  <c r="I84" i="9"/>
  <c r="G84" i="9"/>
  <c r="R83" i="9"/>
  <c r="S83" i="9" s="1"/>
  <c r="Q83" i="9"/>
  <c r="O83" i="9"/>
  <c r="M83" i="9"/>
  <c r="K83" i="9"/>
  <c r="I83" i="9"/>
  <c r="G83" i="9"/>
  <c r="Q82" i="9"/>
  <c r="O82" i="9"/>
  <c r="M82" i="9"/>
  <c r="K82" i="9"/>
  <c r="I82" i="9"/>
  <c r="G82" i="9"/>
  <c r="R81" i="9"/>
  <c r="S81" i="9" s="1"/>
  <c r="Q81" i="9"/>
  <c r="O81" i="9"/>
  <c r="M81" i="9"/>
  <c r="K81" i="9"/>
  <c r="I81" i="9"/>
  <c r="G81" i="9"/>
  <c r="Q80" i="9"/>
  <c r="O80" i="9"/>
  <c r="M80" i="9"/>
  <c r="K80" i="9"/>
  <c r="I80" i="9"/>
  <c r="G80" i="9"/>
  <c r="R79" i="9"/>
  <c r="S79" i="9" s="1"/>
  <c r="Q79" i="9"/>
  <c r="O79" i="9"/>
  <c r="M79" i="9"/>
  <c r="K79" i="9"/>
  <c r="I79" i="9"/>
  <c r="G79" i="9"/>
  <c r="R78" i="9"/>
  <c r="S78" i="9" s="1"/>
  <c r="Q78" i="9"/>
  <c r="O78" i="9"/>
  <c r="M78" i="9"/>
  <c r="K78" i="9"/>
  <c r="I78" i="9"/>
  <c r="G78" i="9"/>
  <c r="R77" i="9"/>
  <c r="S77" i="9" s="1"/>
  <c r="Q77" i="9"/>
  <c r="O77" i="9"/>
  <c r="M77" i="9"/>
  <c r="K77" i="9"/>
  <c r="I77" i="9"/>
  <c r="G77" i="9"/>
  <c r="R76" i="9"/>
  <c r="S76" i="9" s="1"/>
  <c r="Q76" i="9"/>
  <c r="O76" i="9"/>
  <c r="M76" i="9"/>
  <c r="K76" i="9"/>
  <c r="I76" i="9"/>
  <c r="G76" i="9"/>
  <c r="R75" i="9"/>
  <c r="S75" i="9" s="1"/>
  <c r="Q75" i="9"/>
  <c r="O75" i="9"/>
  <c r="M75" i="9"/>
  <c r="K75" i="9"/>
  <c r="I75" i="9"/>
  <c r="G75" i="9"/>
  <c r="S74" i="9"/>
  <c r="Q74" i="9"/>
  <c r="O74" i="9"/>
  <c r="M74" i="9"/>
  <c r="K74" i="9"/>
  <c r="I74" i="9"/>
  <c r="G74" i="9"/>
  <c r="R73" i="9"/>
  <c r="S73" i="9" s="1"/>
  <c r="Q73" i="9"/>
  <c r="O73" i="9"/>
  <c r="M73" i="9"/>
  <c r="K73" i="9"/>
  <c r="I73" i="9"/>
  <c r="G73" i="9"/>
  <c r="R72" i="9"/>
  <c r="S72" i="9" s="1"/>
  <c r="Q72" i="9"/>
  <c r="O72" i="9"/>
  <c r="M72" i="9"/>
  <c r="K72" i="9"/>
  <c r="I72" i="9"/>
  <c r="G72" i="9"/>
  <c r="R71" i="9"/>
  <c r="S71" i="9" s="1"/>
  <c r="Q71" i="9"/>
  <c r="O71" i="9"/>
  <c r="M71" i="9"/>
  <c r="K71" i="9"/>
  <c r="I71" i="9"/>
  <c r="G71" i="9"/>
  <c r="S70" i="9"/>
  <c r="Q70" i="9"/>
  <c r="O70" i="9"/>
  <c r="M70" i="9"/>
  <c r="K70" i="9"/>
  <c r="I70" i="9"/>
  <c r="G70" i="9"/>
  <c r="S69" i="9"/>
  <c r="Q69" i="9"/>
  <c r="O69" i="9"/>
  <c r="M69" i="9"/>
  <c r="K69" i="9"/>
  <c r="I69" i="9"/>
  <c r="G69" i="9"/>
  <c r="S68" i="9"/>
  <c r="Q68" i="9"/>
  <c r="O68" i="9"/>
  <c r="M68" i="9"/>
  <c r="K68" i="9"/>
  <c r="I68" i="9"/>
  <c r="G68" i="9"/>
  <c r="S67" i="9"/>
  <c r="Q67" i="9"/>
  <c r="O67" i="9"/>
  <c r="M67" i="9"/>
  <c r="K67" i="9"/>
  <c r="I67" i="9"/>
  <c r="G67" i="9"/>
  <c r="R66" i="9"/>
  <c r="S66" i="9" s="1"/>
  <c r="Q66" i="9"/>
  <c r="O66" i="9"/>
  <c r="M66" i="9"/>
  <c r="K66" i="9"/>
  <c r="I66" i="9"/>
  <c r="G66" i="9"/>
  <c r="R65" i="9"/>
  <c r="S65" i="9" s="1"/>
  <c r="Q65" i="9"/>
  <c r="O65" i="9"/>
  <c r="M65" i="9"/>
  <c r="K65" i="9"/>
  <c r="I65" i="9"/>
  <c r="G65" i="9"/>
  <c r="R64" i="9"/>
  <c r="S64" i="9" s="1"/>
  <c r="Q64" i="9"/>
  <c r="O64" i="9"/>
  <c r="M64" i="9"/>
  <c r="K64" i="9"/>
  <c r="I64" i="9"/>
  <c r="G64" i="9"/>
  <c r="R63" i="9"/>
  <c r="S63" i="9" s="1"/>
  <c r="Q63" i="9"/>
  <c r="O63" i="9"/>
  <c r="M63" i="9"/>
  <c r="K63" i="9"/>
  <c r="I63" i="9"/>
  <c r="G63" i="9"/>
  <c r="R62" i="9"/>
  <c r="S62" i="9" s="1"/>
  <c r="Q62" i="9"/>
  <c r="O62" i="9"/>
  <c r="M62" i="9"/>
  <c r="K62" i="9"/>
  <c r="I62" i="9"/>
  <c r="G62" i="9"/>
  <c r="R61" i="9"/>
  <c r="S61" i="9" s="1"/>
  <c r="Q61" i="9"/>
  <c r="O61" i="9"/>
  <c r="M61" i="9"/>
  <c r="K61" i="9"/>
  <c r="I61" i="9"/>
  <c r="G61" i="9"/>
  <c r="R60" i="9"/>
  <c r="S60" i="9" s="1"/>
  <c r="Q60" i="9"/>
  <c r="O60" i="9"/>
  <c r="M60" i="9"/>
  <c r="K60" i="9"/>
  <c r="I60" i="9"/>
  <c r="G60" i="9"/>
  <c r="R59" i="9"/>
  <c r="S59" i="9" s="1"/>
  <c r="Q59" i="9"/>
  <c r="O59" i="9"/>
  <c r="M59" i="9"/>
  <c r="K59" i="9"/>
  <c r="I59" i="9"/>
  <c r="G59" i="9"/>
  <c r="R58" i="9"/>
  <c r="S58" i="9" s="1"/>
  <c r="Q58" i="9"/>
  <c r="O58" i="9"/>
  <c r="M58" i="9"/>
  <c r="K58" i="9"/>
  <c r="I58" i="9"/>
  <c r="G58" i="9"/>
  <c r="R57" i="9"/>
  <c r="S57" i="9" s="1"/>
  <c r="Q57" i="9"/>
  <c r="O57" i="9"/>
  <c r="M57" i="9"/>
  <c r="K57" i="9"/>
  <c r="I57" i="9"/>
  <c r="G57" i="9"/>
  <c r="R56" i="9"/>
  <c r="S56" i="9" s="1"/>
  <c r="Q56" i="9"/>
  <c r="O56" i="9"/>
  <c r="M56" i="9"/>
  <c r="K56" i="9"/>
  <c r="I56" i="9"/>
  <c r="G56" i="9"/>
  <c r="R55" i="9"/>
  <c r="S55" i="9" s="1"/>
  <c r="Q55" i="9"/>
  <c r="O55" i="9"/>
  <c r="M55" i="9"/>
  <c r="K55" i="9"/>
  <c r="I55" i="9"/>
  <c r="G55" i="9"/>
  <c r="R54" i="9"/>
  <c r="S54" i="9" s="1"/>
  <c r="Q54" i="9"/>
  <c r="O54" i="9"/>
  <c r="M54" i="9"/>
  <c r="K54" i="9"/>
  <c r="I54" i="9"/>
  <c r="G54" i="9"/>
  <c r="R53" i="9"/>
  <c r="S53" i="9" s="1"/>
  <c r="Q53" i="9"/>
  <c r="O53" i="9"/>
  <c r="M53" i="9"/>
  <c r="K53" i="9"/>
  <c r="I53" i="9"/>
  <c r="G53" i="9"/>
  <c r="R52" i="9"/>
  <c r="S52" i="9" s="1"/>
  <c r="Q52" i="9"/>
  <c r="O52" i="9"/>
  <c r="M52" i="9"/>
  <c r="K52" i="9"/>
  <c r="I52" i="9"/>
  <c r="G52" i="9"/>
  <c r="R51" i="9"/>
  <c r="S51" i="9" s="1"/>
  <c r="Q51" i="9"/>
  <c r="O51" i="9"/>
  <c r="M51" i="9"/>
  <c r="K51" i="9"/>
  <c r="I51" i="9"/>
  <c r="G51" i="9"/>
  <c r="R50" i="9"/>
  <c r="S50" i="9" s="1"/>
  <c r="Q50" i="9"/>
  <c r="O50" i="9"/>
  <c r="M50" i="9"/>
  <c r="K50" i="9"/>
  <c r="I50" i="9"/>
  <c r="G50" i="9"/>
  <c r="R49" i="9"/>
  <c r="S49" i="9" s="1"/>
  <c r="Q49" i="9"/>
  <c r="O49" i="9"/>
  <c r="M49" i="9"/>
  <c r="K49" i="9"/>
  <c r="I49" i="9"/>
  <c r="G49" i="9"/>
  <c r="R48" i="9"/>
  <c r="S48" i="9" s="1"/>
  <c r="Q48" i="9"/>
  <c r="O48" i="9"/>
  <c r="M48" i="9"/>
  <c r="K48" i="9"/>
  <c r="I48" i="9"/>
  <c r="G48" i="9"/>
  <c r="R47" i="9"/>
  <c r="S47" i="9" s="1"/>
  <c r="Q47" i="9"/>
  <c r="O47" i="9"/>
  <c r="M47" i="9"/>
  <c r="K47" i="9"/>
  <c r="I47" i="9"/>
  <c r="G47" i="9"/>
  <c r="R46" i="9"/>
  <c r="S46" i="9" s="1"/>
  <c r="Q46" i="9"/>
  <c r="O46" i="9"/>
  <c r="M46" i="9"/>
  <c r="K46" i="9"/>
  <c r="I46" i="9"/>
  <c r="G46" i="9"/>
  <c r="R45" i="9"/>
  <c r="S45" i="9" s="1"/>
  <c r="Q45" i="9"/>
  <c r="O45" i="9"/>
  <c r="M45" i="9"/>
  <c r="K45" i="9"/>
  <c r="I45" i="9"/>
  <c r="G45" i="9"/>
  <c r="R44" i="9"/>
  <c r="S44" i="9" s="1"/>
  <c r="Q44" i="9"/>
  <c r="O44" i="9"/>
  <c r="M44" i="9"/>
  <c r="K44" i="9"/>
  <c r="I44" i="9"/>
  <c r="G44" i="9"/>
  <c r="R43" i="9"/>
  <c r="S43" i="9" s="1"/>
  <c r="Q43" i="9"/>
  <c r="O43" i="9"/>
  <c r="M43" i="9"/>
  <c r="K43" i="9"/>
  <c r="I43" i="9"/>
  <c r="G43" i="9"/>
  <c r="R42" i="9"/>
  <c r="S42" i="9" s="1"/>
  <c r="Q42" i="9"/>
  <c r="O42" i="9"/>
  <c r="M42" i="9"/>
  <c r="K42" i="9"/>
  <c r="I42" i="9"/>
  <c r="G42" i="9"/>
  <c r="R41" i="9"/>
  <c r="S41" i="9" s="1"/>
  <c r="Q41" i="9"/>
  <c r="O41" i="9"/>
  <c r="M41" i="9"/>
  <c r="K41" i="9"/>
  <c r="I41" i="9"/>
  <c r="G41" i="9"/>
  <c r="R40" i="9"/>
  <c r="S40" i="9" s="1"/>
  <c r="Q40" i="9"/>
  <c r="O40" i="9"/>
  <c r="M40" i="9"/>
  <c r="K40" i="9"/>
  <c r="I40" i="9"/>
  <c r="G40" i="9"/>
  <c r="R39" i="9"/>
  <c r="S39" i="9" s="1"/>
  <c r="Q39" i="9"/>
  <c r="O39" i="9"/>
  <c r="M39" i="9"/>
  <c r="K39" i="9"/>
  <c r="I39" i="9"/>
  <c r="G39" i="9"/>
  <c r="R38" i="9"/>
  <c r="S38" i="9" s="1"/>
  <c r="Q38" i="9"/>
  <c r="O38" i="9"/>
  <c r="M38" i="9"/>
  <c r="K38" i="9"/>
  <c r="I38" i="9"/>
  <c r="G38" i="9"/>
  <c r="R37" i="9"/>
  <c r="S37" i="9" s="1"/>
  <c r="Q37" i="9"/>
  <c r="O37" i="9"/>
  <c r="M37" i="9"/>
  <c r="K37" i="9"/>
  <c r="I37" i="9"/>
  <c r="G37" i="9"/>
  <c r="R36" i="9"/>
  <c r="S36" i="9" s="1"/>
  <c r="Q36" i="9"/>
  <c r="O36" i="9"/>
  <c r="M36" i="9"/>
  <c r="K36" i="9"/>
  <c r="I36" i="9"/>
  <c r="G36" i="9"/>
  <c r="S35" i="9"/>
  <c r="Q35" i="9"/>
  <c r="O35" i="9"/>
  <c r="M35" i="9"/>
  <c r="K35" i="9"/>
  <c r="I35" i="9"/>
  <c r="G35" i="9"/>
  <c r="S34" i="9"/>
  <c r="Q34" i="9"/>
  <c r="O34" i="9"/>
  <c r="M34" i="9"/>
  <c r="K34" i="9"/>
  <c r="I34" i="9"/>
  <c r="G34" i="9"/>
  <c r="R33" i="9"/>
  <c r="S33" i="9" s="1"/>
  <c r="Q33" i="9"/>
  <c r="O33" i="9"/>
  <c r="M33" i="9"/>
  <c r="K33" i="9"/>
  <c r="I33" i="9"/>
  <c r="G33" i="9"/>
  <c r="R32" i="9"/>
  <c r="S32" i="9" s="1"/>
  <c r="Q32" i="9"/>
  <c r="O32" i="9"/>
  <c r="M32" i="9"/>
  <c r="K32" i="9"/>
  <c r="I32" i="9"/>
  <c r="G32" i="9"/>
  <c r="R31" i="9"/>
  <c r="S31" i="9" s="1"/>
  <c r="Q31" i="9"/>
  <c r="O31" i="9"/>
  <c r="M31" i="9"/>
  <c r="K31" i="9"/>
  <c r="I31" i="9"/>
  <c r="G31" i="9"/>
  <c r="R30" i="9"/>
  <c r="S30" i="9" s="1"/>
  <c r="Q30" i="9"/>
  <c r="O30" i="9"/>
  <c r="M30" i="9"/>
  <c r="K30" i="9"/>
  <c r="I30" i="9"/>
  <c r="G30" i="9"/>
  <c r="S29" i="9"/>
  <c r="Q29" i="9"/>
  <c r="O29" i="9"/>
  <c r="M29" i="9"/>
  <c r="K29" i="9"/>
  <c r="I29" i="9"/>
  <c r="G29" i="9"/>
  <c r="R28" i="9"/>
  <c r="S28" i="9" s="1"/>
  <c r="Q28" i="9"/>
  <c r="O28" i="9"/>
  <c r="M28" i="9"/>
  <c r="K28" i="9"/>
  <c r="I28" i="9"/>
  <c r="G28" i="9"/>
  <c r="R27" i="9"/>
  <c r="S27" i="9" s="1"/>
  <c r="Q27" i="9"/>
  <c r="O27" i="9"/>
  <c r="M27" i="9"/>
  <c r="K27" i="9"/>
  <c r="I27" i="9"/>
  <c r="G27" i="9"/>
  <c r="R26" i="9"/>
  <c r="S26" i="9" s="1"/>
  <c r="Q26" i="9"/>
  <c r="O26" i="9"/>
  <c r="M26" i="9"/>
  <c r="K26" i="9"/>
  <c r="I26" i="9"/>
  <c r="G26" i="9"/>
  <c r="R25" i="9"/>
  <c r="S25" i="9" s="1"/>
  <c r="Q25" i="9"/>
  <c r="O25" i="9"/>
  <c r="M25" i="9"/>
  <c r="K25" i="9"/>
  <c r="I25" i="9"/>
  <c r="G25" i="9"/>
  <c r="R24" i="9"/>
  <c r="S24" i="9" s="1"/>
  <c r="Q24" i="9"/>
  <c r="O24" i="9"/>
  <c r="M24" i="9"/>
  <c r="K24" i="9"/>
  <c r="I24" i="9"/>
  <c r="G24" i="9"/>
  <c r="R23" i="9"/>
  <c r="S23" i="9" s="1"/>
  <c r="Q23" i="9"/>
  <c r="O23" i="9"/>
  <c r="M23" i="9"/>
  <c r="K23" i="9"/>
  <c r="I23" i="9"/>
  <c r="G23" i="9"/>
  <c r="R22" i="9"/>
  <c r="S22" i="9" s="1"/>
  <c r="Q22" i="9"/>
  <c r="O22" i="9"/>
  <c r="M22" i="9"/>
  <c r="K22" i="9"/>
  <c r="I22" i="9"/>
  <c r="G22" i="9"/>
  <c r="S21" i="9"/>
  <c r="Q21" i="9"/>
  <c r="O21" i="9"/>
  <c r="M21" i="9"/>
  <c r="K21" i="9"/>
  <c r="I21" i="9"/>
  <c r="G21" i="9"/>
  <c r="S20" i="9"/>
  <c r="Q20" i="9"/>
  <c r="O20" i="9"/>
  <c r="M20" i="9"/>
  <c r="K20" i="9"/>
  <c r="I20" i="9"/>
  <c r="G20" i="9"/>
  <c r="R19" i="9"/>
  <c r="S19" i="9" s="1"/>
  <c r="Q19" i="9"/>
  <c r="O19" i="9"/>
  <c r="M19" i="9"/>
  <c r="K19" i="9"/>
  <c r="I19" i="9"/>
  <c r="G19" i="9"/>
  <c r="R18" i="9"/>
  <c r="S18" i="9" s="1"/>
  <c r="Q18" i="9"/>
  <c r="O18" i="9"/>
  <c r="M18" i="9"/>
  <c r="K18" i="9"/>
  <c r="I18" i="9"/>
  <c r="G18" i="9"/>
  <c r="R17" i="9"/>
  <c r="S17" i="9" s="1"/>
  <c r="Q17" i="9"/>
  <c r="O17" i="9"/>
  <c r="M17" i="9"/>
  <c r="K17" i="9"/>
  <c r="I17" i="9"/>
  <c r="G17" i="9"/>
  <c r="R16" i="9"/>
  <c r="S16" i="9" s="1"/>
  <c r="Q16" i="9"/>
  <c r="O16" i="9"/>
  <c r="M16" i="9"/>
  <c r="K16" i="9"/>
  <c r="I16" i="9"/>
  <c r="G16" i="9"/>
  <c r="R15" i="9"/>
  <c r="S15" i="9" s="1"/>
  <c r="Q15" i="9"/>
  <c r="O15" i="9"/>
  <c r="M15" i="9"/>
  <c r="K15" i="9"/>
  <c r="I15" i="9"/>
  <c r="G15" i="9"/>
  <c r="R14" i="9"/>
  <c r="S14" i="9" s="1"/>
  <c r="Q14" i="9"/>
  <c r="O14" i="9"/>
  <c r="M14" i="9"/>
  <c r="K14" i="9"/>
  <c r="I14" i="9"/>
  <c r="G14" i="9"/>
  <c r="R13" i="9"/>
  <c r="S13" i="9" s="1"/>
  <c r="Q13" i="9"/>
  <c r="O13" i="9"/>
  <c r="M13" i="9"/>
  <c r="K13" i="9"/>
  <c r="I13" i="9"/>
  <c r="G13" i="9"/>
  <c r="R12" i="9"/>
  <c r="S12" i="9" s="1"/>
  <c r="Q12" i="9"/>
  <c r="O12" i="9"/>
  <c r="M12" i="9"/>
  <c r="K12" i="9"/>
  <c r="I12" i="9"/>
  <c r="G12" i="9"/>
  <c r="R11" i="9"/>
  <c r="S11" i="9" s="1"/>
  <c r="Q11" i="9"/>
  <c r="O11" i="9"/>
  <c r="M11" i="9"/>
  <c r="K11" i="9"/>
  <c r="I11" i="9"/>
  <c r="G11" i="9"/>
  <c r="R10" i="9"/>
  <c r="S10" i="9" s="1"/>
  <c r="Q10" i="9"/>
  <c r="O10" i="9"/>
  <c r="M10" i="9"/>
  <c r="K10" i="9"/>
  <c r="I10" i="9"/>
  <c r="G10" i="9"/>
  <c r="R9" i="9"/>
  <c r="S9" i="9" s="1"/>
  <c r="Q9" i="9"/>
  <c r="O9" i="9"/>
  <c r="M9" i="9"/>
  <c r="K9" i="9"/>
  <c r="I9" i="9"/>
  <c r="G9" i="9"/>
  <c r="R8" i="9"/>
  <c r="S8" i="9" s="1"/>
  <c r="Q8" i="9"/>
  <c r="O8" i="9"/>
  <c r="M8" i="9"/>
  <c r="K8" i="9"/>
  <c r="I8" i="9"/>
  <c r="G8" i="9"/>
  <c r="W148" i="9" l="1"/>
  <c r="X148" i="9" s="1"/>
  <c r="Z148" i="9" s="1"/>
  <c r="T369" i="9"/>
  <c r="U369" i="9" s="1"/>
  <c r="V369" i="9" s="1"/>
  <c r="W369" i="9" s="1"/>
  <c r="X369" i="9" s="1"/>
  <c r="T390" i="9"/>
  <c r="U390" i="9" s="1"/>
  <c r="T408" i="9"/>
  <c r="T409" i="9"/>
  <c r="T380" i="9"/>
  <c r="U380" i="9" s="1"/>
  <c r="V380" i="9" s="1"/>
  <c r="T395" i="9"/>
  <c r="U395" i="9" s="1"/>
  <c r="T370" i="9"/>
  <c r="U370" i="9" s="1"/>
  <c r="V370" i="9" s="1"/>
  <c r="T373" i="9"/>
  <c r="U373" i="9" s="1"/>
  <c r="V373" i="9" s="1"/>
  <c r="T401" i="9"/>
  <c r="T404" i="9"/>
  <c r="T400" i="9"/>
  <c r="U400" i="9" s="1"/>
  <c r="T388" i="9"/>
  <c r="U388" i="9" s="1"/>
  <c r="T391" i="9"/>
  <c r="T393" i="9"/>
  <c r="T396" i="9"/>
  <c r="T397" i="9"/>
  <c r="U397" i="9" s="1"/>
  <c r="T402" i="9"/>
  <c r="T394" i="9"/>
  <c r="T398" i="9"/>
  <c r="U398" i="9" s="1"/>
  <c r="T403" i="9"/>
  <c r="U403" i="9" s="1"/>
  <c r="T405" i="9"/>
  <c r="T406" i="9"/>
  <c r="U406" i="9" s="1"/>
  <c r="T389" i="9"/>
  <c r="U389" i="9" s="1"/>
  <c r="T392" i="9"/>
  <c r="T399" i="9"/>
  <c r="U399" i="9" s="1"/>
  <c r="V399" i="9" s="1"/>
  <c r="T407" i="9"/>
  <c r="U407" i="9" s="1"/>
  <c r="T386" i="9"/>
  <c r="U386" i="9" s="1"/>
  <c r="T387" i="9"/>
  <c r="U387" i="9" s="1"/>
  <c r="T55" i="9"/>
  <c r="U55" i="9" s="1"/>
  <c r="T74" i="9"/>
  <c r="U74" i="9" s="1"/>
  <c r="T383" i="9"/>
  <c r="U383" i="9" s="1"/>
  <c r="T378" i="9"/>
  <c r="T379" i="9"/>
  <c r="U379" i="9" s="1"/>
  <c r="V379" i="9" s="1"/>
  <c r="T381" i="9"/>
  <c r="T384" i="9"/>
  <c r="U384" i="9" s="1"/>
  <c r="T382" i="9"/>
  <c r="T385" i="9"/>
  <c r="U385" i="9" s="1"/>
  <c r="T372" i="9"/>
  <c r="U372" i="9" s="1"/>
  <c r="T376" i="9"/>
  <c r="T375" i="9"/>
  <c r="U375" i="9" s="1"/>
  <c r="V375" i="9" s="1"/>
  <c r="T371" i="9"/>
  <c r="T374" i="9"/>
  <c r="T377" i="9"/>
  <c r="T368" i="9"/>
  <c r="U368" i="9" s="1"/>
  <c r="T363" i="9"/>
  <c r="T365" i="9"/>
  <c r="U365" i="9" s="1"/>
  <c r="T366" i="9"/>
  <c r="T367" i="9"/>
  <c r="T364" i="9"/>
  <c r="T46" i="9"/>
  <c r="U46" i="9" s="1"/>
  <c r="T71" i="9"/>
  <c r="U71" i="9" s="1"/>
  <c r="V71" i="9" s="1"/>
  <c r="T152" i="9"/>
  <c r="U152" i="9" s="1"/>
  <c r="T231" i="9"/>
  <c r="U231" i="9" s="1"/>
  <c r="V231" i="9" s="1"/>
  <c r="W231" i="9" s="1"/>
  <c r="T8" i="9"/>
  <c r="U8" i="9" s="1"/>
  <c r="T137" i="9"/>
  <c r="U137" i="9" s="1"/>
  <c r="V137" i="9" s="1"/>
  <c r="W137" i="9" s="1"/>
  <c r="T355" i="9"/>
  <c r="U355" i="9" s="1"/>
  <c r="V355" i="9" s="1"/>
  <c r="T101" i="9"/>
  <c r="U101" i="9" s="1"/>
  <c r="V101" i="9" s="1"/>
  <c r="T228" i="9"/>
  <c r="U228" i="9" s="1"/>
  <c r="V228" i="9" s="1"/>
  <c r="W228" i="9" s="1"/>
  <c r="T236" i="9"/>
  <c r="U236" i="9" s="1"/>
  <c r="V236" i="9" s="1"/>
  <c r="T349" i="9"/>
  <c r="U349" i="9" s="1"/>
  <c r="V349" i="9" s="1"/>
  <c r="T241" i="9"/>
  <c r="U241" i="9" s="1"/>
  <c r="T306" i="9"/>
  <c r="T12" i="9"/>
  <c r="U12" i="9" s="1"/>
  <c r="V12" i="9" s="1"/>
  <c r="T58" i="9"/>
  <c r="U58" i="9" s="1"/>
  <c r="T118" i="9"/>
  <c r="U118" i="9" s="1"/>
  <c r="V118" i="9" s="1"/>
  <c r="T139" i="9"/>
  <c r="U139" i="9" s="1"/>
  <c r="T219" i="9"/>
  <c r="U219" i="9" s="1"/>
  <c r="V219" i="9" s="1"/>
  <c r="T276" i="9"/>
  <c r="U276" i="9" s="1"/>
  <c r="T284" i="9"/>
  <c r="U284" i="9" s="1"/>
  <c r="T291" i="9"/>
  <c r="T309" i="9"/>
  <c r="U309" i="9" s="1"/>
  <c r="T336" i="9"/>
  <c r="U336" i="9" s="1"/>
  <c r="T352" i="9"/>
  <c r="U352" i="9" s="1"/>
  <c r="T360" i="9"/>
  <c r="U360" i="9" s="1"/>
  <c r="V360" i="9" s="1"/>
  <c r="T14" i="9"/>
  <c r="U14" i="9" s="1"/>
  <c r="T21" i="9"/>
  <c r="U21" i="9" s="1"/>
  <c r="V21" i="9" s="1"/>
  <c r="W21" i="9" s="1"/>
  <c r="X21" i="9" s="1"/>
  <c r="T31" i="9"/>
  <c r="U31" i="9" s="1"/>
  <c r="V31" i="9" s="1"/>
  <c r="T10" i="9"/>
  <c r="U10" i="9" s="1"/>
  <c r="V10" i="9" s="1"/>
  <c r="T88" i="9"/>
  <c r="U88" i="9" s="1"/>
  <c r="V88" i="9" s="1"/>
  <c r="W88" i="9" s="1"/>
  <c r="T109" i="9"/>
  <c r="T149" i="9"/>
  <c r="U149" i="9" s="1"/>
  <c r="V149" i="9" s="1"/>
  <c r="T192" i="9"/>
  <c r="U192" i="9" s="1"/>
  <c r="T202" i="9"/>
  <c r="U202" i="9" s="1"/>
  <c r="V202" i="9" s="1"/>
  <c r="W202" i="9" s="1"/>
  <c r="T239" i="9"/>
  <c r="U239" i="9" s="1"/>
  <c r="T243" i="9"/>
  <c r="T256" i="9"/>
  <c r="U256" i="9" s="1"/>
  <c r="T257" i="9"/>
  <c r="U257" i="9" s="1"/>
  <c r="V257" i="9" s="1"/>
  <c r="W257" i="9" s="1"/>
  <c r="T274" i="9"/>
  <c r="U274" i="9" s="1"/>
  <c r="T326" i="9"/>
  <c r="U326" i="9" s="1"/>
  <c r="T358" i="9"/>
  <c r="T356" i="9"/>
  <c r="U356" i="9" s="1"/>
  <c r="T357" i="9"/>
  <c r="U357" i="9" s="1"/>
  <c r="T359" i="9"/>
  <c r="T361" i="9"/>
  <c r="T354" i="9"/>
  <c r="U354" i="9" s="1"/>
  <c r="T362" i="9"/>
  <c r="U362" i="9" s="1"/>
  <c r="T350" i="9"/>
  <c r="T348" i="9"/>
  <c r="T351" i="9"/>
  <c r="T353" i="9"/>
  <c r="U353" i="9" s="1"/>
  <c r="T347" i="9"/>
  <c r="U347" i="9" s="1"/>
  <c r="T341" i="9"/>
  <c r="U341" i="9" s="1"/>
  <c r="T344" i="9"/>
  <c r="U344" i="9" s="1"/>
  <c r="V344" i="9" s="1"/>
  <c r="T345" i="9"/>
  <c r="T343" i="9"/>
  <c r="U343" i="9" s="1"/>
  <c r="V343" i="9" s="1"/>
  <c r="T340" i="9"/>
  <c r="T342" i="9"/>
  <c r="U342" i="9" s="1"/>
  <c r="T346" i="9"/>
  <c r="U346" i="9" s="1"/>
  <c r="T329" i="9"/>
  <c r="U329" i="9" s="1"/>
  <c r="T332" i="9"/>
  <c r="U332" i="9" s="1"/>
  <c r="V332" i="9" s="1"/>
  <c r="T335" i="9"/>
  <c r="U335" i="9" s="1"/>
  <c r="T333" i="9"/>
  <c r="U333" i="9" s="1"/>
  <c r="V333" i="9" s="1"/>
  <c r="T328" i="9"/>
  <c r="T330" i="9"/>
  <c r="T337" i="9"/>
  <c r="U337" i="9" s="1"/>
  <c r="T339" i="9"/>
  <c r="U339" i="9" s="1"/>
  <c r="T338" i="9"/>
  <c r="T331" i="9"/>
  <c r="U331" i="9" s="1"/>
  <c r="V331" i="9" s="1"/>
  <c r="T334" i="9"/>
  <c r="U334" i="9" s="1"/>
  <c r="T327" i="9"/>
  <c r="U327" i="9" s="1"/>
  <c r="T312" i="9"/>
  <c r="U312" i="9" s="1"/>
  <c r="T314" i="9"/>
  <c r="U314" i="9" s="1"/>
  <c r="T316" i="9"/>
  <c r="U316" i="9" s="1"/>
  <c r="T318" i="9"/>
  <c r="U318" i="9" s="1"/>
  <c r="T320" i="9"/>
  <c r="U320" i="9" s="1"/>
  <c r="T324" i="9"/>
  <c r="T323" i="9"/>
  <c r="U323" i="9" s="1"/>
  <c r="T321" i="9"/>
  <c r="U321" i="9" s="1"/>
  <c r="T311" i="9"/>
  <c r="T313" i="9"/>
  <c r="U313" i="9" s="1"/>
  <c r="V313" i="9" s="1"/>
  <c r="T315" i="9"/>
  <c r="T317" i="9"/>
  <c r="T319" i="9"/>
  <c r="T322" i="9"/>
  <c r="T325" i="9"/>
  <c r="U325" i="9" s="1"/>
  <c r="T308" i="9"/>
  <c r="T310" i="9"/>
  <c r="U310" i="9" s="1"/>
  <c r="V310" i="9" s="1"/>
  <c r="T307" i="9"/>
  <c r="T304" i="9"/>
  <c r="T305" i="9"/>
  <c r="U305" i="9" s="1"/>
  <c r="T289" i="9"/>
  <c r="T292" i="9"/>
  <c r="U292" i="9" s="1"/>
  <c r="T294" i="9"/>
  <c r="U294" i="9" s="1"/>
  <c r="T297" i="9"/>
  <c r="T299" i="9"/>
  <c r="U299" i="9" s="1"/>
  <c r="T301" i="9"/>
  <c r="U301" i="9" s="1"/>
  <c r="T290" i="9"/>
  <c r="T295" i="9"/>
  <c r="U295" i="9" s="1"/>
  <c r="T302" i="9"/>
  <c r="U302" i="9" s="1"/>
  <c r="T288" i="9"/>
  <c r="T293" i="9"/>
  <c r="T296" i="9"/>
  <c r="U296" i="9" s="1"/>
  <c r="V296" i="9" s="1"/>
  <c r="W296" i="9" s="1"/>
  <c r="T298" i="9"/>
  <c r="U298" i="9" s="1"/>
  <c r="T300" i="9"/>
  <c r="T303" i="9"/>
  <c r="U303" i="9" s="1"/>
  <c r="V303" i="9" s="1"/>
  <c r="T287" i="9"/>
  <c r="U287" i="9" s="1"/>
  <c r="T280" i="9"/>
  <c r="U280" i="9" s="1"/>
  <c r="T268" i="9"/>
  <c r="U268" i="9" s="1"/>
  <c r="T270" i="9"/>
  <c r="U270" i="9" s="1"/>
  <c r="T272" i="9"/>
  <c r="U272" i="9" s="1"/>
  <c r="T277" i="9"/>
  <c r="U277" i="9" s="1"/>
  <c r="T281" i="9"/>
  <c r="T285" i="9"/>
  <c r="U285" i="9" s="1"/>
  <c r="T275" i="9"/>
  <c r="U275" i="9" s="1"/>
  <c r="V275" i="9" s="1"/>
  <c r="T282" i="9"/>
  <c r="T286" i="9"/>
  <c r="T269" i="9"/>
  <c r="U269" i="9" s="1"/>
  <c r="T271" i="9"/>
  <c r="U271" i="9" s="1"/>
  <c r="T273" i="9"/>
  <c r="U273" i="9" s="1"/>
  <c r="T278" i="9"/>
  <c r="U278" i="9" s="1"/>
  <c r="T279" i="9"/>
  <c r="T283" i="9"/>
  <c r="T262" i="9"/>
  <c r="T248" i="9"/>
  <c r="U248" i="9" s="1"/>
  <c r="T251" i="9"/>
  <c r="T253" i="9"/>
  <c r="T258" i="9"/>
  <c r="U258" i="9" s="1"/>
  <c r="T260" i="9"/>
  <c r="T263" i="9"/>
  <c r="U263" i="9" s="1"/>
  <c r="T264" i="9"/>
  <c r="T265" i="9"/>
  <c r="U265" i="9" s="1"/>
  <c r="V265" i="9" s="1"/>
  <c r="T266" i="9"/>
  <c r="T249" i="9"/>
  <c r="U249" i="9" s="1"/>
  <c r="U253" i="9"/>
  <c r="T254" i="9"/>
  <c r="T267" i="9"/>
  <c r="T250" i="9"/>
  <c r="T252" i="9"/>
  <c r="T255" i="9"/>
  <c r="T259" i="9"/>
  <c r="T261" i="9"/>
  <c r="U261" i="9" s="1"/>
  <c r="T246" i="9"/>
  <c r="T245" i="9"/>
  <c r="U245" i="9" s="1"/>
  <c r="T247" i="9"/>
  <c r="U247" i="9" s="1"/>
  <c r="T237" i="9"/>
  <c r="U237" i="9" s="1"/>
  <c r="V237" i="9" s="1"/>
  <c r="T240" i="9"/>
  <c r="U240" i="9" s="1"/>
  <c r="T242" i="9"/>
  <c r="T244" i="9"/>
  <c r="T238" i="9"/>
  <c r="U238" i="9" s="1"/>
  <c r="T229" i="9"/>
  <c r="T230" i="9"/>
  <c r="U230" i="9" s="1"/>
  <c r="T225" i="9"/>
  <c r="U225" i="9" s="1"/>
  <c r="T226" i="9"/>
  <c r="T224" i="9"/>
  <c r="U224" i="9" s="1"/>
  <c r="T227" i="9"/>
  <c r="T217" i="9"/>
  <c r="U217" i="9" s="1"/>
  <c r="T221" i="9"/>
  <c r="U221" i="9" s="1"/>
  <c r="T213" i="9"/>
  <c r="T215" i="9"/>
  <c r="U215" i="9" s="1"/>
  <c r="T222" i="9"/>
  <c r="T216" i="9"/>
  <c r="T218" i="9"/>
  <c r="T220" i="9"/>
  <c r="T223" i="9"/>
  <c r="T212" i="9"/>
  <c r="T214" i="9"/>
  <c r="U214" i="9" s="1"/>
  <c r="T209" i="9"/>
  <c r="U209" i="9" s="1"/>
  <c r="T210" i="9"/>
  <c r="U210" i="9" s="1"/>
  <c r="V210" i="9" s="1"/>
  <c r="T208" i="9"/>
  <c r="U208" i="9" s="1"/>
  <c r="T211" i="9"/>
  <c r="U211" i="9" s="1"/>
  <c r="T207" i="9"/>
  <c r="T206" i="9"/>
  <c r="U206" i="9" s="1"/>
  <c r="T205" i="9"/>
  <c r="U205" i="9" s="1"/>
  <c r="V205" i="9" s="1"/>
  <c r="T191" i="9"/>
  <c r="T195" i="9"/>
  <c r="U195" i="9" s="1"/>
  <c r="T199" i="9"/>
  <c r="U199" i="9" s="1"/>
  <c r="T203" i="9"/>
  <c r="U203" i="9" s="1"/>
  <c r="T193" i="9"/>
  <c r="T196" i="9"/>
  <c r="T197" i="9"/>
  <c r="U197" i="9" s="1"/>
  <c r="T200" i="9"/>
  <c r="T204" i="9"/>
  <c r="U204" i="9" s="1"/>
  <c r="T188" i="9"/>
  <c r="U188" i="9" s="1"/>
  <c r="T189" i="9"/>
  <c r="T190" i="9"/>
  <c r="T194" i="9"/>
  <c r="U194" i="9" s="1"/>
  <c r="T198" i="9"/>
  <c r="T201" i="9"/>
  <c r="T184" i="9"/>
  <c r="T185" i="9"/>
  <c r="T186" i="9"/>
  <c r="T187" i="9"/>
  <c r="T176" i="9"/>
  <c r="U176" i="9" s="1"/>
  <c r="T177" i="9"/>
  <c r="U177" i="9" s="1"/>
  <c r="T180" i="9"/>
  <c r="T182" i="9"/>
  <c r="T178" i="9"/>
  <c r="T183" i="9"/>
  <c r="T175" i="9"/>
  <c r="U175" i="9" s="1"/>
  <c r="T179" i="9"/>
  <c r="T181" i="9"/>
  <c r="U181" i="9" s="1"/>
  <c r="T169" i="9"/>
  <c r="U169" i="9" s="1"/>
  <c r="V169" i="9" s="1"/>
  <c r="W169" i="9" s="1"/>
  <c r="T173" i="9"/>
  <c r="T172" i="9"/>
  <c r="U172" i="9" s="1"/>
  <c r="T170" i="9"/>
  <c r="U170" i="9" s="1"/>
  <c r="T171" i="9"/>
  <c r="U171" i="9" s="1"/>
  <c r="T174" i="9"/>
  <c r="U174" i="9" s="1"/>
  <c r="T167" i="9"/>
  <c r="U167" i="9" s="1"/>
  <c r="T157" i="9"/>
  <c r="T160" i="9"/>
  <c r="U160" i="9" s="1"/>
  <c r="V160" i="9" s="1"/>
  <c r="T162" i="9"/>
  <c r="T165" i="9"/>
  <c r="U165" i="9" s="1"/>
  <c r="T156" i="9"/>
  <c r="T158" i="9"/>
  <c r="T163" i="9"/>
  <c r="U163" i="9" s="1"/>
  <c r="T166" i="9"/>
  <c r="U166" i="9" s="1"/>
  <c r="V166" i="9" s="1"/>
  <c r="T159" i="9"/>
  <c r="T161" i="9"/>
  <c r="T164" i="9"/>
  <c r="U164" i="9" s="1"/>
  <c r="T153" i="9"/>
  <c r="T150" i="9"/>
  <c r="U150" i="9" s="1"/>
  <c r="T151" i="9"/>
  <c r="U151" i="9" s="1"/>
  <c r="T154" i="9"/>
  <c r="U154" i="9" s="1"/>
  <c r="T155" i="9"/>
  <c r="U155" i="9" s="1"/>
  <c r="T147" i="9"/>
  <c r="T134" i="9"/>
  <c r="T141" i="9"/>
  <c r="T142" i="9"/>
  <c r="T135" i="9"/>
  <c r="T140" i="9"/>
  <c r="U140" i="9" s="1"/>
  <c r="T145" i="9"/>
  <c r="T144" i="9"/>
  <c r="U144" i="9" s="1"/>
  <c r="V144" i="9" s="1"/>
  <c r="W144" i="9" s="1"/>
  <c r="T133" i="9"/>
  <c r="U133" i="9" s="1"/>
  <c r="T136" i="9"/>
  <c r="T138" i="9"/>
  <c r="T143" i="9"/>
  <c r="U143" i="9" s="1"/>
  <c r="T146" i="9"/>
  <c r="U146" i="9" s="1"/>
  <c r="T128" i="9"/>
  <c r="U128" i="9" s="1"/>
  <c r="V128" i="9" s="1"/>
  <c r="T130" i="9"/>
  <c r="U130" i="9" s="1"/>
  <c r="T129" i="9"/>
  <c r="U129" i="9" s="1"/>
  <c r="T131" i="9"/>
  <c r="U131" i="9" s="1"/>
  <c r="T132" i="9"/>
  <c r="U132" i="9" s="1"/>
  <c r="T125" i="9"/>
  <c r="T126" i="9"/>
  <c r="U126" i="9" s="1"/>
  <c r="T127" i="9"/>
  <c r="T119" i="9"/>
  <c r="T122" i="9"/>
  <c r="U122" i="9" s="1"/>
  <c r="T120" i="9"/>
  <c r="T123" i="9"/>
  <c r="U123" i="9" s="1"/>
  <c r="T116" i="9"/>
  <c r="T117" i="9"/>
  <c r="T121" i="9"/>
  <c r="U121" i="9" s="1"/>
  <c r="T124" i="9"/>
  <c r="T110" i="9"/>
  <c r="U110" i="9" s="1"/>
  <c r="T113" i="9"/>
  <c r="T111" i="9"/>
  <c r="T114" i="9"/>
  <c r="U114" i="9" s="1"/>
  <c r="T108" i="9"/>
  <c r="U108" i="9" s="1"/>
  <c r="T112" i="9"/>
  <c r="T115" i="9"/>
  <c r="U115" i="9" s="1"/>
  <c r="T106" i="9"/>
  <c r="U106" i="9" s="1"/>
  <c r="T107" i="9"/>
  <c r="U107" i="9" s="1"/>
  <c r="T102" i="9"/>
  <c r="T104" i="9"/>
  <c r="U104" i="9" s="1"/>
  <c r="T103" i="9"/>
  <c r="U103" i="9" s="1"/>
  <c r="T105" i="9"/>
  <c r="U105" i="9" s="1"/>
  <c r="V105" i="9" s="1"/>
  <c r="T93" i="9"/>
  <c r="T89" i="9"/>
  <c r="U89" i="9" s="1"/>
  <c r="T91" i="9"/>
  <c r="U91" i="9" s="1"/>
  <c r="T94" i="9"/>
  <c r="U94" i="9" s="1"/>
  <c r="V94" i="9" s="1"/>
  <c r="T97" i="9"/>
  <c r="T99" i="9"/>
  <c r="U99" i="9" s="1"/>
  <c r="T92" i="9"/>
  <c r="U92" i="9" s="1"/>
  <c r="V92" i="9" s="1"/>
  <c r="W92" i="9" s="1"/>
  <c r="X92" i="9" s="1"/>
  <c r="Z92" i="9" s="1"/>
  <c r="T95" i="9"/>
  <c r="T90" i="9"/>
  <c r="T96" i="9"/>
  <c r="T98" i="9"/>
  <c r="T100" i="9"/>
  <c r="T86" i="9"/>
  <c r="U86" i="9" s="1"/>
  <c r="T84" i="9"/>
  <c r="T85" i="9"/>
  <c r="T87" i="9"/>
  <c r="U87" i="9" s="1"/>
  <c r="T78" i="9"/>
  <c r="U78" i="9" s="1"/>
  <c r="T80" i="9"/>
  <c r="U80" i="9" s="1"/>
  <c r="T77" i="9"/>
  <c r="T79" i="9"/>
  <c r="T81" i="9"/>
  <c r="U81" i="9" s="1"/>
  <c r="V81" i="9" s="1"/>
  <c r="T82" i="9"/>
  <c r="T83" i="9"/>
  <c r="U83" i="9" s="1"/>
  <c r="T75" i="9"/>
  <c r="U75" i="9" s="1"/>
  <c r="T72" i="9"/>
  <c r="U72" i="9" s="1"/>
  <c r="T76" i="9"/>
  <c r="U76" i="9" s="1"/>
  <c r="T68" i="9"/>
  <c r="U68" i="9" s="1"/>
  <c r="V68" i="9" s="1"/>
  <c r="T69" i="9"/>
  <c r="T70" i="9"/>
  <c r="T73" i="9"/>
  <c r="T66" i="9"/>
  <c r="U66" i="9" s="1"/>
  <c r="V66" i="9" s="1"/>
  <c r="T67" i="9"/>
  <c r="T51" i="9"/>
  <c r="U51" i="9" s="1"/>
  <c r="T53" i="9"/>
  <c r="T59" i="9"/>
  <c r="T63" i="9"/>
  <c r="U63" i="9" s="1"/>
  <c r="T62" i="9"/>
  <c r="T54" i="9"/>
  <c r="T56" i="9"/>
  <c r="U56" i="9" s="1"/>
  <c r="T60" i="9"/>
  <c r="T64" i="9"/>
  <c r="T50" i="9"/>
  <c r="T52" i="9"/>
  <c r="U52" i="9" s="1"/>
  <c r="T57" i="9"/>
  <c r="T61" i="9"/>
  <c r="U61" i="9" s="1"/>
  <c r="T65" i="9"/>
  <c r="U65" i="9" s="1"/>
  <c r="V65" i="9" s="1"/>
  <c r="T48" i="9"/>
  <c r="U48" i="9" s="1"/>
  <c r="T49" i="9"/>
  <c r="U49" i="9" s="1"/>
  <c r="T43" i="9"/>
  <c r="U43" i="9" s="1"/>
  <c r="V43" i="9" s="1"/>
  <c r="T38" i="9"/>
  <c r="U38" i="9" s="1"/>
  <c r="T41" i="9"/>
  <c r="U41" i="9" s="1"/>
  <c r="T37" i="9"/>
  <c r="T39" i="9"/>
  <c r="T44" i="9"/>
  <c r="T47" i="9"/>
  <c r="U47" i="9" s="1"/>
  <c r="T40" i="9"/>
  <c r="T42" i="9"/>
  <c r="T45" i="9"/>
  <c r="T28" i="9"/>
  <c r="T29" i="9"/>
  <c r="T34" i="9"/>
  <c r="T35" i="9"/>
  <c r="T33" i="9"/>
  <c r="T30" i="9"/>
  <c r="U30" i="9" s="1"/>
  <c r="T32" i="9"/>
  <c r="T36" i="9"/>
  <c r="U36" i="9" s="1"/>
  <c r="T17" i="9"/>
  <c r="T20" i="9"/>
  <c r="T22" i="9"/>
  <c r="T24" i="9"/>
  <c r="T26" i="9"/>
  <c r="U26" i="9" s="1"/>
  <c r="T9" i="9"/>
  <c r="T11" i="9"/>
  <c r="U11" i="9" s="1"/>
  <c r="T13" i="9"/>
  <c r="T15" i="9"/>
  <c r="U15" i="9" s="1"/>
  <c r="T18" i="9"/>
  <c r="T16" i="9"/>
  <c r="U16" i="9" s="1"/>
  <c r="T19" i="9"/>
  <c r="U19" i="9" s="1"/>
  <c r="T23" i="9"/>
  <c r="T25" i="9"/>
  <c r="T27" i="9"/>
  <c r="V152" i="9" l="1"/>
  <c r="W152" i="9" s="1"/>
  <c r="X152" i="9" s="1"/>
  <c r="V390" i="9"/>
  <c r="W390" i="9" s="1"/>
  <c r="U109" i="9"/>
  <c r="V109" i="9" s="1"/>
  <c r="W109" i="9" s="1"/>
  <c r="X109" i="9" s="1"/>
  <c r="V395" i="9"/>
  <c r="W395" i="9" s="1"/>
  <c r="X395" i="9" s="1"/>
  <c r="Z395" i="9" s="1"/>
  <c r="U408" i="9"/>
  <c r="V408" i="9" s="1"/>
  <c r="W408" i="9" s="1"/>
  <c r="X408" i="9" s="1"/>
  <c r="U409" i="9"/>
  <c r="U401" i="9"/>
  <c r="V401" i="9" s="1"/>
  <c r="V74" i="9"/>
  <c r="W74" i="9" s="1"/>
  <c r="U391" i="9"/>
  <c r="V391" i="9" s="1"/>
  <c r="U404" i="9"/>
  <c r="V404" i="9" s="1"/>
  <c r="W404" i="9" s="1"/>
  <c r="X404" i="9" s="1"/>
  <c r="Z404" i="9" s="1"/>
  <c r="V388" i="9"/>
  <c r="W388" i="9" s="1"/>
  <c r="X388" i="9" s="1"/>
  <c r="Z388" i="9" s="1"/>
  <c r="U376" i="9"/>
  <c r="V376" i="9" s="1"/>
  <c r="W376" i="9" s="1"/>
  <c r="X376" i="9" s="1"/>
  <c r="W399" i="9"/>
  <c r="X399" i="9" s="1"/>
  <c r="V400" i="9"/>
  <c r="W400" i="9" s="1"/>
  <c r="X400" i="9" s="1"/>
  <c r="V398" i="9"/>
  <c r="W398" i="9" s="1"/>
  <c r="X398" i="9" s="1"/>
  <c r="Z398" i="9" s="1"/>
  <c r="U402" i="9"/>
  <c r="V389" i="9"/>
  <c r="W389" i="9" s="1"/>
  <c r="U394" i="9"/>
  <c r="U405" i="9"/>
  <c r="V405" i="9" s="1"/>
  <c r="V397" i="9"/>
  <c r="U392" i="9"/>
  <c r="V392" i="9" s="1"/>
  <c r="V403" i="9"/>
  <c r="W403" i="9" s="1"/>
  <c r="X403" i="9" s="1"/>
  <c r="Z403" i="9" s="1"/>
  <c r="U396" i="9"/>
  <c r="V396" i="9" s="1"/>
  <c r="U393" i="9"/>
  <c r="V393" i="9" s="1"/>
  <c r="V406" i="9"/>
  <c r="W406" i="9" s="1"/>
  <c r="V407" i="9"/>
  <c r="W407" i="9" s="1"/>
  <c r="V386" i="9"/>
  <c r="W386" i="9" s="1"/>
  <c r="V387" i="9"/>
  <c r="W387" i="9" s="1"/>
  <c r="V292" i="9"/>
  <c r="W292" i="9" s="1"/>
  <c r="X292" i="9" s="1"/>
  <c r="Z292" i="9" s="1"/>
  <c r="V214" i="9"/>
  <c r="W214" i="9" s="1"/>
  <c r="X214" i="9" s="1"/>
  <c r="Z214" i="9" s="1"/>
  <c r="W380" i="9"/>
  <c r="X380" i="9" s="1"/>
  <c r="Z380" i="9" s="1"/>
  <c r="U378" i="9"/>
  <c r="V383" i="9"/>
  <c r="W383" i="9" s="1"/>
  <c r="X383" i="9" s="1"/>
  <c r="V384" i="9"/>
  <c r="W384" i="9" s="1"/>
  <c r="X384" i="9" s="1"/>
  <c r="W379" i="9"/>
  <c r="X379" i="9" s="1"/>
  <c r="Z379" i="9" s="1"/>
  <c r="V385" i="9"/>
  <c r="W385" i="9" s="1"/>
  <c r="U382" i="9"/>
  <c r="V382" i="9" s="1"/>
  <c r="U381" i="9"/>
  <c r="V381" i="9" s="1"/>
  <c r="V372" i="9"/>
  <c r="W372" i="9" s="1"/>
  <c r="W373" i="9"/>
  <c r="X373" i="9" s="1"/>
  <c r="Z373" i="9" s="1"/>
  <c r="U377" i="9"/>
  <c r="V377" i="9" s="1"/>
  <c r="V368" i="9"/>
  <c r="W368" i="9" s="1"/>
  <c r="U371" i="9"/>
  <c r="V371" i="9" s="1"/>
  <c r="W375" i="9"/>
  <c r="X375" i="9" s="1"/>
  <c r="U374" i="9"/>
  <c r="W370" i="9"/>
  <c r="X370" i="9" s="1"/>
  <c r="Z370" i="9" s="1"/>
  <c r="V365" i="9"/>
  <c r="U363" i="9"/>
  <c r="U367" i="9"/>
  <c r="U366" i="9"/>
  <c r="U364" i="9"/>
  <c r="V364" i="9" s="1"/>
  <c r="W364" i="9" s="1"/>
  <c r="U282" i="9"/>
  <c r="V282" i="9" s="1"/>
  <c r="W282" i="9" s="1"/>
  <c r="X282" i="9" s="1"/>
  <c r="V314" i="9"/>
  <c r="W314" i="9" s="1"/>
  <c r="X314" i="9" s="1"/>
  <c r="Z314" i="9" s="1"/>
  <c r="V115" i="9"/>
  <c r="W115" i="9" s="1"/>
  <c r="X115" i="9" s="1"/>
  <c r="V323" i="9"/>
  <c r="W323" i="9" s="1"/>
  <c r="X323" i="9" s="1"/>
  <c r="V209" i="9"/>
  <c r="W209" i="9" s="1"/>
  <c r="X209" i="9" s="1"/>
  <c r="Z209" i="9" s="1"/>
  <c r="W331" i="9"/>
  <c r="X331" i="9" s="1"/>
  <c r="V256" i="9"/>
  <c r="W256" i="9" s="1"/>
  <c r="X256" i="9" s="1"/>
  <c r="U17" i="9"/>
  <c r="V17" i="9" s="1"/>
  <c r="U127" i="9"/>
  <c r="V127" i="9" s="1"/>
  <c r="W127" i="9" s="1"/>
  <c r="X127" i="9" s="1"/>
  <c r="U207" i="9"/>
  <c r="V207" i="9" s="1"/>
  <c r="U244" i="9"/>
  <c r="V244" i="9" s="1"/>
  <c r="V352" i="9"/>
  <c r="W352" i="9" s="1"/>
  <c r="X352" i="9" s="1"/>
  <c r="Z352" i="9" s="1"/>
  <c r="V284" i="9"/>
  <c r="W284" i="9" s="1"/>
  <c r="X284" i="9" s="1"/>
  <c r="U79" i="9"/>
  <c r="V79" i="9" s="1"/>
  <c r="V104" i="9"/>
  <c r="W104" i="9" s="1"/>
  <c r="U124" i="9"/>
  <c r="V124" i="9" s="1"/>
  <c r="W124" i="9" s="1"/>
  <c r="X124" i="9" s="1"/>
  <c r="U95" i="9"/>
  <c r="V95" i="9" s="1"/>
  <c r="U141" i="9"/>
  <c r="V141" i="9" s="1"/>
  <c r="V239" i="9"/>
  <c r="W239" i="9" s="1"/>
  <c r="V16" i="9"/>
  <c r="W16" i="9" s="1"/>
  <c r="V51" i="9"/>
  <c r="W51" i="9" s="1"/>
  <c r="X51" i="9" s="1"/>
  <c r="Z51" i="9" s="1"/>
  <c r="V75" i="9"/>
  <c r="W75" i="9" s="1"/>
  <c r="X75" i="9" s="1"/>
  <c r="V122" i="9"/>
  <c r="W122" i="9" s="1"/>
  <c r="X122" i="9" s="1"/>
  <c r="W128" i="9"/>
  <c r="X128" i="9" s="1"/>
  <c r="Z128" i="9" s="1"/>
  <c r="X137" i="9"/>
  <c r="Z137" i="9" s="1"/>
  <c r="W210" i="9"/>
  <c r="X210" i="9" s="1"/>
  <c r="U243" i="9"/>
  <c r="V243" i="9" s="1"/>
  <c r="U283" i="9"/>
  <c r="V283" i="9" s="1"/>
  <c r="U291" i="9"/>
  <c r="U306" i="9"/>
  <c r="V306" i="9" s="1"/>
  <c r="V335" i="9"/>
  <c r="W335" i="9" s="1"/>
  <c r="X335" i="9" s="1"/>
  <c r="W332" i="9"/>
  <c r="X332" i="9" s="1"/>
  <c r="U307" i="9"/>
  <c r="V126" i="9"/>
  <c r="W126" i="9" s="1"/>
  <c r="X126" i="9" s="1"/>
  <c r="Z126" i="9" s="1"/>
  <c r="V230" i="9"/>
  <c r="W230" i="9" s="1"/>
  <c r="X230" i="9" s="1"/>
  <c r="Z230" i="9" s="1"/>
  <c r="V263" i="9"/>
  <c r="W263" i="9" s="1"/>
  <c r="X263" i="9" s="1"/>
  <c r="V253" i="9"/>
  <c r="W253" i="9" s="1"/>
  <c r="X253" i="9" s="1"/>
  <c r="Z253" i="9" s="1"/>
  <c r="V305" i="9"/>
  <c r="W305" i="9" s="1"/>
  <c r="X305" i="9" s="1"/>
  <c r="V341" i="9"/>
  <c r="W341" i="9" s="1"/>
  <c r="U358" i="9"/>
  <c r="V358" i="9" s="1"/>
  <c r="V11" i="9"/>
  <c r="W11" i="9" s="1"/>
  <c r="X11" i="9" s="1"/>
  <c r="Z11" i="9" s="1"/>
  <c r="V80" i="9"/>
  <c r="W80" i="9" s="1"/>
  <c r="X80" i="9" s="1"/>
  <c r="W101" i="9"/>
  <c r="X101" i="9" s="1"/>
  <c r="U134" i="9"/>
  <c r="V151" i="9"/>
  <c r="W151" i="9" s="1"/>
  <c r="U159" i="9"/>
  <c r="V159" i="9" s="1"/>
  <c r="W159" i="9" s="1"/>
  <c r="V199" i="9"/>
  <c r="W199" i="9" s="1"/>
  <c r="X199" i="9" s="1"/>
  <c r="V217" i="9"/>
  <c r="W217" i="9" s="1"/>
  <c r="X217" i="9" s="1"/>
  <c r="Z217" i="9" s="1"/>
  <c r="V240" i="9"/>
  <c r="W240" i="9" s="1"/>
  <c r="X240" i="9" s="1"/>
  <c r="Z240" i="9" s="1"/>
  <c r="V258" i="9"/>
  <c r="W258" i="9" s="1"/>
  <c r="X258" i="9" s="1"/>
  <c r="Z258" i="9" s="1"/>
  <c r="U266" i="9"/>
  <c r="V266" i="9" s="1"/>
  <c r="W303" i="9"/>
  <c r="X303" i="9" s="1"/>
  <c r="V309" i="9"/>
  <c r="W309" i="9" s="1"/>
  <c r="X309" i="9" s="1"/>
  <c r="Z309" i="9" s="1"/>
  <c r="V354" i="9"/>
  <c r="W360" i="9"/>
  <c r="X360" i="9" s="1"/>
  <c r="Z360" i="9" s="1"/>
  <c r="V362" i="9"/>
  <c r="W362" i="9" s="1"/>
  <c r="X362" i="9" s="1"/>
  <c r="W355" i="9"/>
  <c r="X355" i="9" s="1"/>
  <c r="V357" i="9"/>
  <c r="U361" i="9"/>
  <c r="U359" i="9"/>
  <c r="V359" i="9" s="1"/>
  <c r="V356" i="9"/>
  <c r="W356" i="9" s="1"/>
  <c r="U350" i="9"/>
  <c r="V350" i="9" s="1"/>
  <c r="W349" i="9"/>
  <c r="X349" i="9" s="1"/>
  <c r="V353" i="9"/>
  <c r="W353" i="9" s="1"/>
  <c r="U348" i="9"/>
  <c r="U351" i="9"/>
  <c r="V351" i="9" s="1"/>
  <c r="V347" i="9"/>
  <c r="W347" i="9" s="1"/>
  <c r="V342" i="9"/>
  <c r="W342" i="9" s="1"/>
  <c r="X342" i="9" s="1"/>
  <c r="Z342" i="9" s="1"/>
  <c r="W343" i="9"/>
  <c r="X343" i="9" s="1"/>
  <c r="Z343" i="9" s="1"/>
  <c r="W344" i="9"/>
  <c r="X344" i="9" s="1"/>
  <c r="V346" i="9"/>
  <c r="U340" i="9"/>
  <c r="U345" i="9"/>
  <c r="V329" i="9"/>
  <c r="W329" i="9" s="1"/>
  <c r="U330" i="9"/>
  <c r="V339" i="9"/>
  <c r="W339" i="9" s="1"/>
  <c r="X339" i="9" s="1"/>
  <c r="Z339" i="9" s="1"/>
  <c r="U338" i="9"/>
  <c r="V338" i="9" s="1"/>
  <c r="V334" i="9"/>
  <c r="W334" i="9" s="1"/>
  <c r="X334" i="9" s="1"/>
  <c r="V336" i="9"/>
  <c r="W336" i="9" s="1"/>
  <c r="U328" i="9"/>
  <c r="V337" i="9"/>
  <c r="W333" i="9"/>
  <c r="X333" i="9" s="1"/>
  <c r="Z333" i="9" s="1"/>
  <c r="V326" i="9"/>
  <c r="V327" i="9"/>
  <c r="V321" i="9"/>
  <c r="W321" i="9" s="1"/>
  <c r="X321" i="9" s="1"/>
  <c r="U311" i="9"/>
  <c r="V311" i="9" s="1"/>
  <c r="W311" i="9" s="1"/>
  <c r="V318" i="9"/>
  <c r="W318" i="9" s="1"/>
  <c r="U322" i="9"/>
  <c r="V322" i="9" s="1"/>
  <c r="U324" i="9"/>
  <c r="V324" i="9" s="1"/>
  <c r="V325" i="9"/>
  <c r="W325" i="9" s="1"/>
  <c r="X325" i="9" s="1"/>
  <c r="U317" i="9"/>
  <c r="V317" i="9" s="1"/>
  <c r="W313" i="9"/>
  <c r="X313" i="9" s="1"/>
  <c r="Z313" i="9" s="1"/>
  <c r="U315" i="9"/>
  <c r="V320" i="9"/>
  <c r="V316" i="9"/>
  <c r="V312" i="9"/>
  <c r="W312" i="9" s="1"/>
  <c r="U319" i="9"/>
  <c r="V319" i="9" s="1"/>
  <c r="W310" i="9"/>
  <c r="X310" i="9" s="1"/>
  <c r="Z310" i="9" s="1"/>
  <c r="U308" i="9"/>
  <c r="U304" i="9"/>
  <c r="V304" i="9" s="1"/>
  <c r="X296" i="9"/>
  <c r="Z296" i="9" s="1"/>
  <c r="V294" i="9"/>
  <c r="W294" i="9" s="1"/>
  <c r="V302" i="9"/>
  <c r="W302" i="9" s="1"/>
  <c r="X302" i="9" s="1"/>
  <c r="V295" i="9"/>
  <c r="U293" i="9"/>
  <c r="V293" i="9" s="1"/>
  <c r="V298" i="9"/>
  <c r="W298" i="9" s="1"/>
  <c r="U300" i="9"/>
  <c r="V300" i="9" s="1"/>
  <c r="U289" i="9"/>
  <c r="V289" i="9" s="1"/>
  <c r="U290" i="9"/>
  <c r="V301" i="9"/>
  <c r="W301" i="9" s="1"/>
  <c r="X301" i="9" s="1"/>
  <c r="Z301" i="9" s="1"/>
  <c r="V299" i="9"/>
  <c r="W299" i="9" s="1"/>
  <c r="U297" i="9"/>
  <c r="U288" i="9"/>
  <c r="V287" i="9"/>
  <c r="W287" i="9" s="1"/>
  <c r="X287" i="9" s="1"/>
  <c r="Z287" i="9" s="1"/>
  <c r="V276" i="9"/>
  <c r="W276" i="9" s="1"/>
  <c r="X276" i="9" s="1"/>
  <c r="V280" i="9"/>
  <c r="W280" i="9" s="1"/>
  <c r="X280" i="9" s="1"/>
  <c r="V278" i="9"/>
  <c r="W278" i="9" s="1"/>
  <c r="X278" i="9" s="1"/>
  <c r="W275" i="9"/>
  <c r="X275" i="9" s="1"/>
  <c r="Z275" i="9" s="1"/>
  <c r="V269" i="9"/>
  <c r="U279" i="9"/>
  <c r="V279" i="9" s="1"/>
  <c r="U281" i="9"/>
  <c r="V274" i="9"/>
  <c r="W274" i="9" s="1"/>
  <c r="V268" i="9"/>
  <c r="V272" i="9"/>
  <c r="V271" i="9"/>
  <c r="V285" i="9"/>
  <c r="W285" i="9" s="1"/>
  <c r="X285" i="9" s="1"/>
  <c r="U286" i="9"/>
  <c r="V286" i="9" s="1"/>
  <c r="V273" i="9"/>
  <c r="V277" i="9"/>
  <c r="V270" i="9"/>
  <c r="V248" i="9"/>
  <c r="W248" i="9" s="1"/>
  <c r="X248" i="9" s="1"/>
  <c r="U264" i="9"/>
  <c r="V264" i="9" s="1"/>
  <c r="W264" i="9" s="1"/>
  <c r="U260" i="9"/>
  <c r="U250" i="9"/>
  <c r="V250" i="9" s="1"/>
  <c r="W265" i="9"/>
  <c r="X265" i="9" s="1"/>
  <c r="U252" i="9"/>
  <c r="V252" i="9" s="1"/>
  <c r="U259" i="9"/>
  <c r="U255" i="9"/>
  <c r="U267" i="9"/>
  <c r="V267" i="9" s="1"/>
  <c r="U251" i="9"/>
  <c r="U262" i="9"/>
  <c r="V262" i="9" s="1"/>
  <c r="U254" i="9"/>
  <c r="V254" i="9" s="1"/>
  <c r="X257" i="9"/>
  <c r="V261" i="9"/>
  <c r="W261" i="9" s="1"/>
  <c r="X261" i="9" s="1"/>
  <c r="V249" i="9"/>
  <c r="W249" i="9" s="1"/>
  <c r="V247" i="9"/>
  <c r="W247" i="9" s="1"/>
  <c r="U246" i="9"/>
  <c r="V246" i="9" s="1"/>
  <c r="W246" i="9" s="1"/>
  <c r="X246" i="9" s="1"/>
  <c r="Z246" i="9" s="1"/>
  <c r="V245" i="9"/>
  <c r="W245" i="9" s="1"/>
  <c r="V238" i="9"/>
  <c r="V241" i="9"/>
  <c r="W237" i="9"/>
  <c r="X237" i="9" s="1"/>
  <c r="Z237" i="9" s="1"/>
  <c r="W236" i="9"/>
  <c r="X236" i="9" s="1"/>
  <c r="U242" i="9"/>
  <c r="X228" i="9"/>
  <c r="X231" i="9"/>
  <c r="Z231" i="9" s="1"/>
  <c r="U229" i="9"/>
  <c r="V229" i="9" s="1"/>
  <c r="W229" i="9" s="1"/>
  <c r="U227" i="9"/>
  <c r="V227" i="9" s="1"/>
  <c r="V224" i="9"/>
  <c r="W224" i="9" s="1"/>
  <c r="V225" i="9"/>
  <c r="W225" i="9" s="1"/>
  <c r="X225" i="9" s="1"/>
  <c r="Z225" i="9" s="1"/>
  <c r="U226" i="9"/>
  <c r="W219" i="9"/>
  <c r="X219" i="9" s="1"/>
  <c r="Z219" i="9" s="1"/>
  <c r="U213" i="9"/>
  <c r="V213" i="9" s="1"/>
  <c r="U218" i="9"/>
  <c r="V218" i="9" s="1"/>
  <c r="W218" i="9" s="1"/>
  <c r="U212" i="9"/>
  <c r="V212" i="9" s="1"/>
  <c r="U223" i="9"/>
  <c r="V223" i="9" s="1"/>
  <c r="U220" i="9"/>
  <c r="V220" i="9" s="1"/>
  <c r="V221" i="9"/>
  <c r="W221" i="9" s="1"/>
  <c r="V215" i="9"/>
  <c r="W215" i="9" s="1"/>
  <c r="U222" i="9"/>
  <c r="U216" i="9"/>
  <c r="V211" i="9"/>
  <c r="W211" i="9" s="1"/>
  <c r="X211" i="9" s="1"/>
  <c r="V208" i="9"/>
  <c r="V206" i="9"/>
  <c r="W206" i="9" s="1"/>
  <c r="X206" i="9" s="1"/>
  <c r="Z206" i="9" s="1"/>
  <c r="W205" i="9"/>
  <c r="X205" i="9" s="1"/>
  <c r="U189" i="9"/>
  <c r="V189" i="9" s="1"/>
  <c r="U200" i="9"/>
  <c r="V192" i="9"/>
  <c r="X202" i="9"/>
  <c r="U191" i="9"/>
  <c r="V204" i="9"/>
  <c r="W204" i="9" s="1"/>
  <c r="V203" i="9"/>
  <c r="W203" i="9" s="1"/>
  <c r="V197" i="9"/>
  <c r="W197" i="9" s="1"/>
  <c r="X197" i="9" s="1"/>
  <c r="U198" i="9"/>
  <c r="V198" i="9" s="1"/>
  <c r="U193" i="9"/>
  <c r="U190" i="9"/>
  <c r="V190" i="9" s="1"/>
  <c r="W190" i="9" s="1"/>
  <c r="V194" i="9"/>
  <c r="W194" i="9" s="1"/>
  <c r="U196" i="9"/>
  <c r="V188" i="9"/>
  <c r="W188" i="9" s="1"/>
  <c r="U201" i="9"/>
  <c r="V201" i="9" s="1"/>
  <c r="W201" i="9" s="1"/>
  <c r="V195" i="9"/>
  <c r="W195" i="9" s="1"/>
  <c r="X195" i="9" s="1"/>
  <c r="Z195" i="9" s="1"/>
  <c r="U185" i="9"/>
  <c r="V185" i="9" s="1"/>
  <c r="U186" i="9"/>
  <c r="V186" i="9" s="1"/>
  <c r="U187" i="9"/>
  <c r="U184" i="9"/>
  <c r="U182" i="9"/>
  <c r="V182" i="9" s="1"/>
  <c r="U179" i="9"/>
  <c r="V179" i="9" s="1"/>
  <c r="W179" i="9" s="1"/>
  <c r="V181" i="9"/>
  <c r="W181" i="9" s="1"/>
  <c r="V176" i="9"/>
  <c r="W176" i="9" s="1"/>
  <c r="U180" i="9"/>
  <c r="V180" i="9" s="1"/>
  <c r="V175" i="9"/>
  <c r="U178" i="9"/>
  <c r="U183" i="9"/>
  <c r="V183" i="9" s="1"/>
  <c r="V177" i="9"/>
  <c r="W177" i="9" s="1"/>
  <c r="X177" i="9" s="1"/>
  <c r="V170" i="9"/>
  <c r="W170" i="9" s="1"/>
  <c r="U173" i="9"/>
  <c r="V173" i="9" s="1"/>
  <c r="V171" i="9"/>
  <c r="V172" i="9"/>
  <c r="W172" i="9" s="1"/>
  <c r="V174" i="9"/>
  <c r="W174" i="9" s="1"/>
  <c r="X169" i="9"/>
  <c r="V167" i="9"/>
  <c r="W167" i="9" s="1"/>
  <c r="W160" i="9"/>
  <c r="X160" i="9" s="1"/>
  <c r="Z160" i="9" s="1"/>
  <c r="V163" i="9"/>
  <c r="W163" i="9" s="1"/>
  <c r="U157" i="9"/>
  <c r="V157" i="9" s="1"/>
  <c r="U156" i="9"/>
  <c r="V156" i="9" s="1"/>
  <c r="W156" i="9" s="1"/>
  <c r="X156" i="9" s="1"/>
  <c r="U158" i="9"/>
  <c r="V158" i="9" s="1"/>
  <c r="U162" i="9"/>
  <c r="U161" i="9"/>
  <c r="V164" i="9"/>
  <c r="W166" i="9"/>
  <c r="X166" i="9" s="1"/>
  <c r="Z166" i="9" s="1"/>
  <c r="V165" i="9"/>
  <c r="V150" i="9"/>
  <c r="W150" i="9" s="1"/>
  <c r="V155" i="9"/>
  <c r="W155" i="9" s="1"/>
  <c r="X155" i="9" s="1"/>
  <c r="W149" i="9"/>
  <c r="X149" i="9" s="1"/>
  <c r="Z149" i="9" s="1"/>
  <c r="V154" i="9"/>
  <c r="W154" i="9" s="1"/>
  <c r="U153" i="9"/>
  <c r="U147" i="9"/>
  <c r="V143" i="9"/>
  <c r="W143" i="9" s="1"/>
  <c r="X143" i="9" s="1"/>
  <c r="Z143" i="9" s="1"/>
  <c r="X144" i="9"/>
  <c r="U142" i="9"/>
  <c r="V142" i="9" s="1"/>
  <c r="U136" i="9"/>
  <c r="V133" i="9"/>
  <c r="W133" i="9" s="1"/>
  <c r="X133" i="9" s="1"/>
  <c r="Z133" i="9" s="1"/>
  <c r="U138" i="9"/>
  <c r="V138" i="9" s="1"/>
  <c r="V146" i="9"/>
  <c r="W146" i="9" s="1"/>
  <c r="V139" i="9"/>
  <c r="W139" i="9" s="1"/>
  <c r="U135" i="9"/>
  <c r="V135" i="9" s="1"/>
  <c r="W135" i="9" s="1"/>
  <c r="V140" i="9"/>
  <c r="W140" i="9" s="1"/>
  <c r="X140" i="9" s="1"/>
  <c r="Z140" i="9" s="1"/>
  <c r="U145" i="9"/>
  <c r="V145" i="9" s="1"/>
  <c r="V129" i="9"/>
  <c r="V131" i="9"/>
  <c r="W131" i="9" s="1"/>
  <c r="X131" i="9" s="1"/>
  <c r="V132" i="9"/>
  <c r="W132" i="9" s="1"/>
  <c r="V130" i="9"/>
  <c r="W130" i="9" s="1"/>
  <c r="U125" i="9"/>
  <c r="V123" i="9"/>
  <c r="W123" i="9" s="1"/>
  <c r="X123" i="9" s="1"/>
  <c r="W118" i="9"/>
  <c r="X118" i="9" s="1"/>
  <c r="U120" i="9"/>
  <c r="U117" i="9"/>
  <c r="U119" i="9"/>
  <c r="V119" i="9" s="1"/>
  <c r="V121" i="9"/>
  <c r="W121" i="9" s="1"/>
  <c r="X121" i="9" s="1"/>
  <c r="Z121" i="9" s="1"/>
  <c r="U116" i="9"/>
  <c r="U112" i="9"/>
  <c r="V112" i="9" s="1"/>
  <c r="V110" i="9"/>
  <c r="U113" i="9"/>
  <c r="V108" i="9"/>
  <c r="U111" i="9"/>
  <c r="V111" i="9" s="1"/>
  <c r="V114" i="9"/>
  <c r="V106" i="9"/>
  <c r="W106" i="9" s="1"/>
  <c r="V107" i="9"/>
  <c r="V103" i="9"/>
  <c r="W103" i="9" s="1"/>
  <c r="X103" i="9" s="1"/>
  <c r="Z103" i="9" s="1"/>
  <c r="W105" i="9"/>
  <c r="X105" i="9" s="1"/>
  <c r="U102" i="9"/>
  <c r="V99" i="9"/>
  <c r="W94" i="9"/>
  <c r="X94" i="9" s="1"/>
  <c r="X88" i="9"/>
  <c r="U98" i="9"/>
  <c r="U100" i="9"/>
  <c r="V100" i="9" s="1"/>
  <c r="V91" i="9"/>
  <c r="W91" i="9" s="1"/>
  <c r="X91" i="9" s="1"/>
  <c r="U97" i="9"/>
  <c r="U96" i="9"/>
  <c r="V96" i="9" s="1"/>
  <c r="U93" i="9"/>
  <c r="V93" i="9" s="1"/>
  <c r="U90" i="9"/>
  <c r="V90" i="9" s="1"/>
  <c r="V89" i="9"/>
  <c r="V87" i="9"/>
  <c r="W87" i="9" s="1"/>
  <c r="X87" i="9" s="1"/>
  <c r="U85" i="9"/>
  <c r="U84" i="9"/>
  <c r="V84" i="9" s="1"/>
  <c r="V86" i="9"/>
  <c r="W86" i="9" s="1"/>
  <c r="U77" i="9"/>
  <c r="V83" i="9"/>
  <c r="U82" i="9"/>
  <c r="V78" i="9"/>
  <c r="W78" i="9" s="1"/>
  <c r="W81" i="9"/>
  <c r="X81" i="9" s="1"/>
  <c r="Z81" i="9" s="1"/>
  <c r="W68" i="9"/>
  <c r="X68" i="9" s="1"/>
  <c r="U69" i="9"/>
  <c r="V76" i="9"/>
  <c r="U70" i="9"/>
  <c r="U73" i="9"/>
  <c r="V73" i="9" s="1"/>
  <c r="W71" i="9"/>
  <c r="X71" i="9" s="1"/>
  <c r="Z71" i="9" s="1"/>
  <c r="V72" i="9"/>
  <c r="W66" i="9"/>
  <c r="X66" i="9" s="1"/>
  <c r="U67" i="9"/>
  <c r="U59" i="9"/>
  <c r="V59" i="9" s="1"/>
  <c r="V52" i="9"/>
  <c r="V63" i="9"/>
  <c r="W63" i="9" s="1"/>
  <c r="V58" i="9"/>
  <c r="W65" i="9"/>
  <c r="X65" i="9" s="1"/>
  <c r="U60" i="9"/>
  <c r="V60" i="9" s="1"/>
  <c r="U53" i="9"/>
  <c r="U57" i="9"/>
  <c r="U62" i="9"/>
  <c r="V56" i="9"/>
  <c r="W56" i="9" s="1"/>
  <c r="U64" i="9"/>
  <c r="V64" i="9" s="1"/>
  <c r="V55" i="9"/>
  <c r="V61" i="9"/>
  <c r="W61" i="9" s="1"/>
  <c r="X61" i="9" s="1"/>
  <c r="U50" i="9"/>
  <c r="V50" i="9" s="1"/>
  <c r="U54" i="9"/>
  <c r="V48" i="9"/>
  <c r="W48" i="9" s="1"/>
  <c r="V49" i="9"/>
  <c r="U42" i="9"/>
  <c r="U40" i="9"/>
  <c r="V40" i="9" s="1"/>
  <c r="W40" i="9" s="1"/>
  <c r="W43" i="9"/>
  <c r="X43" i="9" s="1"/>
  <c r="Z43" i="9" s="1"/>
  <c r="U39" i="9"/>
  <c r="U37" i="9"/>
  <c r="V47" i="9"/>
  <c r="V38" i="9"/>
  <c r="U44" i="9"/>
  <c r="V44" i="9" s="1"/>
  <c r="U45" i="9"/>
  <c r="V45" i="9" s="1"/>
  <c r="W47" i="9"/>
  <c r="X47" i="9" s="1"/>
  <c r="Z47" i="9" s="1"/>
  <c r="V41" i="9"/>
  <c r="V46" i="9"/>
  <c r="W46" i="9" s="1"/>
  <c r="V36" i="9"/>
  <c r="W31" i="9"/>
  <c r="X31" i="9" s="1"/>
  <c r="Z31" i="9" s="1"/>
  <c r="U29" i="9"/>
  <c r="V30" i="9"/>
  <c r="W30" i="9" s="1"/>
  <c r="U35" i="9"/>
  <c r="U28" i="9"/>
  <c r="U34" i="9"/>
  <c r="V34" i="9" s="1"/>
  <c r="U32" i="9"/>
  <c r="U33" i="9"/>
  <c r="V33" i="9" s="1"/>
  <c r="W10" i="9"/>
  <c r="X10" i="9" s="1"/>
  <c r="Z10" i="9" s="1"/>
  <c r="U9" i="9"/>
  <c r="V9" i="9" s="1"/>
  <c r="V19" i="9"/>
  <c r="U27" i="9"/>
  <c r="V27" i="9" s="1"/>
  <c r="W27" i="9" s="1"/>
  <c r="X27" i="9" s="1"/>
  <c r="Z27" i="9" s="1"/>
  <c r="W12" i="9"/>
  <c r="X12" i="9" s="1"/>
  <c r="Z12" i="9" s="1"/>
  <c r="V8" i="9"/>
  <c r="W8" i="9" s="1"/>
  <c r="X8" i="9" s="1"/>
  <c r="Z8" i="9" s="1"/>
  <c r="U24" i="9"/>
  <c r="V15" i="9"/>
  <c r="W15" i="9" s="1"/>
  <c r="U22" i="9"/>
  <c r="U25" i="9"/>
  <c r="U18" i="9"/>
  <c r="V18" i="9" s="1"/>
  <c r="W18" i="9" s="1"/>
  <c r="X18" i="9" s="1"/>
  <c r="U20" i="9"/>
  <c r="V20" i="9" s="1"/>
  <c r="U13" i="9"/>
  <c r="U23" i="9"/>
  <c r="V23" i="9" s="1"/>
  <c r="W23" i="9" s="1"/>
  <c r="V14" i="9"/>
  <c r="V26" i="9"/>
  <c r="W26" i="9" s="1"/>
  <c r="X159" i="9" l="1"/>
  <c r="Z159" i="9" s="1"/>
  <c r="X74" i="9"/>
  <c r="X341" i="9"/>
  <c r="Z341" i="9" s="1"/>
  <c r="X16" i="9"/>
  <c r="X390" i="9"/>
  <c r="X151" i="9"/>
  <c r="V409" i="9"/>
  <c r="W409" i="9" s="1"/>
  <c r="X409" i="9" s="1"/>
  <c r="W401" i="9"/>
  <c r="X401" i="9" s="1"/>
  <c r="W391" i="9"/>
  <c r="X391" i="9" s="1"/>
  <c r="Z391" i="9" s="1"/>
  <c r="V394" i="9"/>
  <c r="W394" i="9" s="1"/>
  <c r="W141" i="9"/>
  <c r="X141" i="9" s="1"/>
  <c r="W397" i="9"/>
  <c r="X397" i="9" s="1"/>
  <c r="W392" i="9"/>
  <c r="X392" i="9" s="1"/>
  <c r="Z392" i="9" s="1"/>
  <c r="W33" i="9"/>
  <c r="X33" i="9" s="1"/>
  <c r="Z33" i="9" s="1"/>
  <c r="W358" i="9"/>
  <c r="X358" i="9" s="1"/>
  <c r="Z358" i="9" s="1"/>
  <c r="W393" i="9"/>
  <c r="X393" i="9" s="1"/>
  <c r="W405" i="9"/>
  <c r="X405" i="9" s="1"/>
  <c r="W396" i="9"/>
  <c r="X396" i="9" s="1"/>
  <c r="X407" i="9"/>
  <c r="X406" i="9"/>
  <c r="V402" i="9"/>
  <c r="X389" i="9"/>
  <c r="Z389" i="9" s="1"/>
  <c r="X387" i="9"/>
  <c r="Z387" i="9" s="1"/>
  <c r="X386" i="9"/>
  <c r="W207" i="9"/>
  <c r="X207" i="9" s="1"/>
  <c r="Z207" i="9" s="1"/>
  <c r="W79" i="9"/>
  <c r="X79" i="9" s="1"/>
  <c r="W180" i="9"/>
  <c r="X180" i="9" s="1"/>
  <c r="Z180" i="9" s="1"/>
  <c r="W254" i="9"/>
  <c r="X254" i="9" s="1"/>
  <c r="W371" i="9"/>
  <c r="X371" i="9" s="1"/>
  <c r="Z371" i="9" s="1"/>
  <c r="V378" i="9"/>
  <c r="W378" i="9" s="1"/>
  <c r="X378" i="9" s="1"/>
  <c r="Z378" i="9" s="1"/>
  <c r="W382" i="9"/>
  <c r="X382" i="9" s="1"/>
  <c r="Z382" i="9" s="1"/>
  <c r="W381" i="9"/>
  <c r="X381" i="9" s="1"/>
  <c r="Z381" i="9" s="1"/>
  <c r="X385" i="9"/>
  <c r="W377" i="9"/>
  <c r="X377" i="9" s="1"/>
  <c r="Z377" i="9" s="1"/>
  <c r="X372" i="9"/>
  <c r="V374" i="9"/>
  <c r="W374" i="9" s="1"/>
  <c r="X374" i="9" s="1"/>
  <c r="Z374" i="9" s="1"/>
  <c r="X368" i="9"/>
  <c r="Z368" i="9" s="1"/>
  <c r="X364" i="9"/>
  <c r="Z364" i="9" s="1"/>
  <c r="W365" i="9"/>
  <c r="X365" i="9" s="1"/>
  <c r="V367" i="9"/>
  <c r="W367" i="9" s="1"/>
  <c r="X367" i="9" s="1"/>
  <c r="Z367" i="9" s="1"/>
  <c r="V366" i="9"/>
  <c r="W366" i="9" s="1"/>
  <c r="X366" i="9" s="1"/>
  <c r="V363" i="9"/>
  <c r="X104" i="9"/>
  <c r="Z104" i="9" s="1"/>
  <c r="W270" i="9"/>
  <c r="X270" i="9" s="1"/>
  <c r="Z270" i="9" s="1"/>
  <c r="X336" i="9"/>
  <c r="W357" i="9"/>
  <c r="X357" i="9" s="1"/>
  <c r="Z357" i="9" s="1"/>
  <c r="X188" i="9"/>
  <c r="W17" i="9"/>
  <c r="X17" i="9" s="1"/>
  <c r="Z17" i="9" s="1"/>
  <c r="W241" i="9"/>
  <c r="X241" i="9" s="1"/>
  <c r="Z241" i="9" s="1"/>
  <c r="X264" i="9"/>
  <c r="V291" i="9"/>
  <c r="W243" i="9"/>
  <c r="X243" i="9" s="1"/>
  <c r="Z243" i="9" s="1"/>
  <c r="W41" i="9"/>
  <c r="X41" i="9" s="1"/>
  <c r="Z41" i="9" s="1"/>
  <c r="V191" i="9"/>
  <c r="W191" i="9" s="1"/>
  <c r="X191" i="9" s="1"/>
  <c r="W300" i="9"/>
  <c r="X300" i="9" s="1"/>
  <c r="Z300" i="9" s="1"/>
  <c r="W316" i="9"/>
  <c r="X316" i="9" s="1"/>
  <c r="Z316" i="9" s="1"/>
  <c r="W112" i="9"/>
  <c r="X112" i="9" s="1"/>
  <c r="Z112" i="9" s="1"/>
  <c r="X249" i="9"/>
  <c r="V315" i="9"/>
  <c r="W315" i="9" s="1"/>
  <c r="V28" i="9"/>
  <c r="W28" i="9" s="1"/>
  <c r="X28" i="9" s="1"/>
  <c r="Z28" i="9" s="1"/>
  <c r="W52" i="9"/>
  <c r="X52" i="9" s="1"/>
  <c r="Z52" i="9" s="1"/>
  <c r="V113" i="9"/>
  <c r="W113" i="9" s="1"/>
  <c r="W138" i="9"/>
  <c r="X138" i="9" s="1"/>
  <c r="Z138" i="9" s="1"/>
  <c r="X56" i="9"/>
  <c r="V77" i="9"/>
  <c r="W77" i="9" s="1"/>
  <c r="X77" i="9" s="1"/>
  <c r="Z77" i="9" s="1"/>
  <c r="W164" i="9"/>
  <c r="X164" i="9" s="1"/>
  <c r="Z164" i="9" s="1"/>
  <c r="W266" i="9"/>
  <c r="X266" i="9" s="1"/>
  <c r="W268" i="9"/>
  <c r="X268" i="9" s="1"/>
  <c r="Z268" i="9" s="1"/>
  <c r="V361" i="9"/>
  <c r="W361" i="9" s="1"/>
  <c r="X361" i="9" s="1"/>
  <c r="W283" i="9"/>
  <c r="X283" i="9" s="1"/>
  <c r="X30" i="9"/>
  <c r="Z30" i="9" s="1"/>
  <c r="W60" i="9"/>
  <c r="X60" i="9" s="1"/>
  <c r="W95" i="9"/>
  <c r="X95" i="9" s="1"/>
  <c r="V120" i="9"/>
  <c r="W120" i="9" s="1"/>
  <c r="X120" i="9" s="1"/>
  <c r="X150" i="9"/>
  <c r="X172" i="9"/>
  <c r="X179" i="9"/>
  <c r="Z179" i="9" s="1"/>
  <c r="V184" i="9"/>
  <c r="W184" i="9" s="1"/>
  <c r="W192" i="9"/>
  <c r="X192" i="9" s="1"/>
  <c r="X215" i="9"/>
  <c r="X247" i="9"/>
  <c r="Z247" i="9" s="1"/>
  <c r="W273" i="9"/>
  <c r="X273" i="9" s="1"/>
  <c r="X329" i="9"/>
  <c r="Z329" i="9" s="1"/>
  <c r="X347" i="9"/>
  <c r="W306" i="9"/>
  <c r="X306" i="9" s="1"/>
  <c r="Z306" i="9" s="1"/>
  <c r="X239" i="9"/>
  <c r="Z239" i="9" s="1"/>
  <c r="W244" i="9"/>
  <c r="X244" i="9" s="1"/>
  <c r="Z244" i="9" s="1"/>
  <c r="W44" i="9"/>
  <c r="X44" i="9" s="1"/>
  <c r="X63" i="9"/>
  <c r="W93" i="9"/>
  <c r="X93" i="9" s="1"/>
  <c r="X146" i="9"/>
  <c r="X170" i="9"/>
  <c r="W182" i="9"/>
  <c r="X182" i="9" s="1"/>
  <c r="X221" i="9"/>
  <c r="Z221" i="9" s="1"/>
  <c r="W238" i="9"/>
  <c r="X238" i="9" s="1"/>
  <c r="W267" i="9"/>
  <c r="X267" i="9" s="1"/>
  <c r="Z267" i="9" s="1"/>
  <c r="X298" i="9"/>
  <c r="Z298" i="9" s="1"/>
  <c r="X312" i="9"/>
  <c r="Z312" i="9" s="1"/>
  <c r="W324" i="9"/>
  <c r="X324" i="9" s="1"/>
  <c r="Z324" i="9" s="1"/>
  <c r="W351" i="9"/>
  <c r="X351" i="9" s="1"/>
  <c r="Z351" i="9" s="1"/>
  <c r="V134" i="9"/>
  <c r="W134" i="9" s="1"/>
  <c r="V307" i="9"/>
  <c r="W307" i="9" s="1"/>
  <c r="W354" i="9"/>
  <c r="X354" i="9" s="1"/>
  <c r="X356" i="9"/>
  <c r="W359" i="9"/>
  <c r="X359" i="9" s="1"/>
  <c r="Z359" i="9" s="1"/>
  <c r="V348" i="9"/>
  <c r="W348" i="9" s="1"/>
  <c r="X348" i="9" s="1"/>
  <c r="Z348" i="9" s="1"/>
  <c r="W350" i="9"/>
  <c r="X350" i="9" s="1"/>
  <c r="X353" i="9"/>
  <c r="Z353" i="9" s="1"/>
  <c r="W346" i="9"/>
  <c r="X346" i="9" s="1"/>
  <c r="Z346" i="9" s="1"/>
  <c r="V345" i="9"/>
  <c r="W345" i="9" s="1"/>
  <c r="V340" i="9"/>
  <c r="W340" i="9" s="1"/>
  <c r="W338" i="9"/>
  <c r="X338" i="9" s="1"/>
  <c r="Z338" i="9" s="1"/>
  <c r="W337" i="9"/>
  <c r="X337" i="9" s="1"/>
  <c r="Z337" i="9" s="1"/>
  <c r="V328" i="9"/>
  <c r="W328" i="9" s="1"/>
  <c r="X328" i="9" s="1"/>
  <c r="Z328" i="9" s="1"/>
  <c r="V330" i="9"/>
  <c r="W330" i="9" s="1"/>
  <c r="W327" i="9"/>
  <c r="X327" i="9" s="1"/>
  <c r="Z327" i="9" s="1"/>
  <c r="W326" i="9"/>
  <c r="X326" i="9" s="1"/>
  <c r="Z326" i="9" s="1"/>
  <c r="X318" i="9"/>
  <c r="Z318" i="9" s="1"/>
  <c r="W319" i="9"/>
  <c r="X319" i="9" s="1"/>
  <c r="Z319" i="9" s="1"/>
  <c r="W320" i="9"/>
  <c r="X320" i="9" s="1"/>
  <c r="X311" i="9"/>
  <c r="Z311" i="9" s="1"/>
  <c r="W322" i="9"/>
  <c r="X322" i="9" s="1"/>
  <c r="W317" i="9"/>
  <c r="X317" i="9" s="1"/>
  <c r="Z317" i="9" s="1"/>
  <c r="V308" i="9"/>
  <c r="W308" i="9" s="1"/>
  <c r="X308" i="9" s="1"/>
  <c r="Z308" i="9" s="1"/>
  <c r="W304" i="9"/>
  <c r="X304" i="9" s="1"/>
  <c r="X299" i="9"/>
  <c r="Z299" i="9" s="1"/>
  <c r="V288" i="9"/>
  <c r="W288" i="9" s="1"/>
  <c r="X288" i="9" s="1"/>
  <c r="Z288" i="9" s="1"/>
  <c r="W289" i="9"/>
  <c r="X289" i="9" s="1"/>
  <c r="X294" i="9"/>
  <c r="Z294" i="9" s="1"/>
  <c r="W295" i="9"/>
  <c r="X295" i="9" s="1"/>
  <c r="V297" i="9"/>
  <c r="W297" i="9" s="1"/>
  <c r="X297" i="9" s="1"/>
  <c r="Z297" i="9" s="1"/>
  <c r="V290" i="9"/>
  <c r="W290" i="9" s="1"/>
  <c r="X290" i="9" s="1"/>
  <c r="Z290" i="9" s="1"/>
  <c r="W293" i="9"/>
  <c r="X293" i="9" s="1"/>
  <c r="Z293" i="9" s="1"/>
  <c r="W277" i="9"/>
  <c r="X277" i="9" s="1"/>
  <c r="Z277" i="9" s="1"/>
  <c r="W286" i="9"/>
  <c r="X286" i="9" s="1"/>
  <c r="Z286" i="9" s="1"/>
  <c r="W269" i="9"/>
  <c r="X269" i="9" s="1"/>
  <c r="Z269" i="9" s="1"/>
  <c r="W272" i="9"/>
  <c r="X272" i="9" s="1"/>
  <c r="Z272" i="9" s="1"/>
  <c r="W271" i="9"/>
  <c r="X271" i="9" s="1"/>
  <c r="Z271" i="9" s="1"/>
  <c r="W279" i="9"/>
  <c r="X279" i="9" s="1"/>
  <c r="V281" i="9"/>
  <c r="W281" i="9" s="1"/>
  <c r="X281" i="9" s="1"/>
  <c r="X274" i="9"/>
  <c r="Z274" i="9" s="1"/>
  <c r="V260" i="9"/>
  <c r="W260" i="9" s="1"/>
  <c r="X260" i="9" s="1"/>
  <c r="Z260" i="9" s="1"/>
  <c r="V259" i="9"/>
  <c r="W259" i="9" s="1"/>
  <c r="V255" i="9"/>
  <c r="W255" i="9" s="1"/>
  <c r="W252" i="9"/>
  <c r="X252" i="9" s="1"/>
  <c r="Z252" i="9" s="1"/>
  <c r="W262" i="9"/>
  <c r="X262" i="9" s="1"/>
  <c r="Z262" i="9" s="1"/>
  <c r="V251" i="9"/>
  <c r="W250" i="9"/>
  <c r="X250" i="9" s="1"/>
  <c r="Z250" i="9" s="1"/>
  <c r="X245" i="9"/>
  <c r="Z245" i="9" s="1"/>
  <c r="V242" i="9"/>
  <c r="W242" i="9" s="1"/>
  <c r="X242" i="9" s="1"/>
  <c r="Z242" i="9" s="1"/>
  <c r="X229" i="9"/>
  <c r="Z229" i="9" s="1"/>
  <c r="V226" i="9"/>
  <c r="W226" i="9" s="1"/>
  <c r="W227" i="9"/>
  <c r="X227" i="9" s="1"/>
  <c r="Z227" i="9" s="1"/>
  <c r="X224" i="9"/>
  <c r="Z224" i="9" s="1"/>
  <c r="W220" i="9"/>
  <c r="X220" i="9" s="1"/>
  <c r="Z220" i="9" s="1"/>
  <c r="X218" i="9"/>
  <c r="Z218" i="9" s="1"/>
  <c r="W212" i="9"/>
  <c r="X212" i="9" s="1"/>
  <c r="Z212" i="9" s="1"/>
  <c r="V216" i="9"/>
  <c r="W216" i="9" s="1"/>
  <c r="X216" i="9" s="1"/>
  <c r="Z216" i="9" s="1"/>
  <c r="W213" i="9"/>
  <c r="X213" i="9" s="1"/>
  <c r="Z213" i="9" s="1"/>
  <c r="W223" i="9"/>
  <c r="X223" i="9" s="1"/>
  <c r="Z223" i="9" s="1"/>
  <c r="V222" i="9"/>
  <c r="W222" i="9" s="1"/>
  <c r="X222" i="9" s="1"/>
  <c r="W208" i="9"/>
  <c r="X208" i="9" s="1"/>
  <c r="X190" i="9"/>
  <c r="W189" i="9"/>
  <c r="X189" i="9" s="1"/>
  <c r="V200" i="9"/>
  <c r="W200" i="9" s="1"/>
  <c r="X203" i="9"/>
  <c r="X194" i="9"/>
  <c r="Z194" i="9" s="1"/>
  <c r="X204" i="9"/>
  <c r="Z204" i="9" s="1"/>
  <c r="X201" i="9"/>
  <c r="Z201" i="9" s="1"/>
  <c r="V193" i="9"/>
  <c r="W193" i="9" s="1"/>
  <c r="V196" i="9"/>
  <c r="W196" i="9" s="1"/>
  <c r="W198" i="9"/>
  <c r="X198" i="9" s="1"/>
  <c r="Z198" i="9" s="1"/>
  <c r="W185" i="9"/>
  <c r="X185" i="9" s="1"/>
  <c r="W186" i="9"/>
  <c r="X186" i="9" s="1"/>
  <c r="V187" i="9"/>
  <c r="W187" i="9" s="1"/>
  <c r="X187" i="9" s="1"/>
  <c r="V178" i="9"/>
  <c r="W178" i="9" s="1"/>
  <c r="X178" i="9" s="1"/>
  <c r="W175" i="9"/>
  <c r="X175" i="9" s="1"/>
  <c r="Z175" i="9" s="1"/>
  <c r="W183" i="9"/>
  <c r="X183" i="9" s="1"/>
  <c r="Z183" i="9" s="1"/>
  <c r="X181" i="9"/>
  <c r="Z181" i="9" s="1"/>
  <c r="X176" i="9"/>
  <c r="W173" i="9"/>
  <c r="X173" i="9" s="1"/>
  <c r="Z173" i="9" s="1"/>
  <c r="W171" i="9"/>
  <c r="X171" i="9" s="1"/>
  <c r="X174" i="9"/>
  <c r="X167" i="9"/>
  <c r="Z167" i="9" s="1"/>
  <c r="V161" i="9"/>
  <c r="W161" i="9" s="1"/>
  <c r="X161" i="9" s="1"/>
  <c r="Z161" i="9" s="1"/>
  <c r="W157" i="9"/>
  <c r="X157" i="9" s="1"/>
  <c r="Z157" i="9" s="1"/>
  <c r="W158" i="9"/>
  <c r="X158" i="9" s="1"/>
  <c r="W165" i="9"/>
  <c r="X165" i="9" s="1"/>
  <c r="V162" i="9"/>
  <c r="W162" i="9" s="1"/>
  <c r="X162" i="9" s="1"/>
  <c r="X163" i="9"/>
  <c r="V153" i="9"/>
  <c r="W153" i="9" s="1"/>
  <c r="X154" i="9"/>
  <c r="V147" i="9"/>
  <c r="W147" i="9" s="1"/>
  <c r="X147" i="9" s="1"/>
  <c r="W145" i="9"/>
  <c r="X145" i="9" s="1"/>
  <c r="V136" i="9"/>
  <c r="W136" i="9" s="1"/>
  <c r="X136" i="9" s="1"/>
  <c r="Z136" i="9" s="1"/>
  <c r="X135" i="9"/>
  <c r="W142" i="9"/>
  <c r="X142" i="9" s="1"/>
  <c r="Z142" i="9" s="1"/>
  <c r="X139" i="9"/>
  <c r="X130" i="9"/>
  <c r="Z130" i="9" s="1"/>
  <c r="X132" i="9"/>
  <c r="W129" i="9"/>
  <c r="X129" i="9" s="1"/>
  <c r="Z129" i="9" s="1"/>
  <c r="V125" i="9"/>
  <c r="W125" i="9" s="1"/>
  <c r="W119" i="9"/>
  <c r="X119" i="9" s="1"/>
  <c r="Z119" i="9" s="1"/>
  <c r="V116" i="9"/>
  <c r="V117" i="9"/>
  <c r="W117" i="9" s="1"/>
  <c r="X117" i="9" s="1"/>
  <c r="W108" i="9"/>
  <c r="X108" i="9" s="1"/>
  <c r="W114" i="9"/>
  <c r="X114" i="9" s="1"/>
  <c r="W111" i="9"/>
  <c r="X111" i="9" s="1"/>
  <c r="W110" i="9"/>
  <c r="X110" i="9" s="1"/>
  <c r="Z110" i="9" s="1"/>
  <c r="X106" i="9"/>
  <c r="W107" i="9"/>
  <c r="X107" i="9" s="1"/>
  <c r="Z107" i="9" s="1"/>
  <c r="V102" i="9"/>
  <c r="W102" i="9" s="1"/>
  <c r="V98" i="9"/>
  <c r="W98" i="9" s="1"/>
  <c r="X98" i="9" s="1"/>
  <c r="Z98" i="9" s="1"/>
  <c r="W90" i="9"/>
  <c r="X90" i="9" s="1"/>
  <c r="Z90" i="9" s="1"/>
  <c r="V97" i="9"/>
  <c r="W97" i="9" s="1"/>
  <c r="X97" i="9" s="1"/>
  <c r="Z97" i="9" s="1"/>
  <c r="W96" i="9"/>
  <c r="X96" i="9" s="1"/>
  <c r="Z96" i="9" s="1"/>
  <c r="W89" i="9"/>
  <c r="X89" i="9" s="1"/>
  <c r="Z89" i="9" s="1"/>
  <c r="W100" i="9"/>
  <c r="X100" i="9" s="1"/>
  <c r="W99" i="9"/>
  <c r="X99" i="9" s="1"/>
  <c r="Z99" i="9" s="1"/>
  <c r="W84" i="9"/>
  <c r="X84" i="9" s="1"/>
  <c r="X86" i="9"/>
  <c r="Z86" i="9" s="1"/>
  <c r="V85" i="9"/>
  <c r="W85" i="9" s="1"/>
  <c r="X85" i="9" s="1"/>
  <c r="Z85" i="9" s="1"/>
  <c r="W83" i="9"/>
  <c r="X83" i="9" s="1"/>
  <c r="Z83" i="9" s="1"/>
  <c r="X78" i="9"/>
  <c r="Z78" i="9" s="1"/>
  <c r="V82" i="9"/>
  <c r="W82" i="9" s="1"/>
  <c r="W72" i="9"/>
  <c r="X72" i="9" s="1"/>
  <c r="W76" i="9"/>
  <c r="X76" i="9" s="1"/>
  <c r="Z76" i="9" s="1"/>
  <c r="V69" i="9"/>
  <c r="W73" i="9"/>
  <c r="X73" i="9" s="1"/>
  <c r="Z73" i="9" s="1"/>
  <c r="V70" i="9"/>
  <c r="W70" i="9" s="1"/>
  <c r="V67" i="9"/>
  <c r="W67" i="9" s="1"/>
  <c r="X67" i="9" s="1"/>
  <c r="W55" i="9"/>
  <c r="X55" i="9" s="1"/>
  <c r="Z55" i="9" s="1"/>
  <c r="W50" i="9"/>
  <c r="X50" i="9" s="1"/>
  <c r="Z50" i="9" s="1"/>
  <c r="V57" i="9"/>
  <c r="W57" i="9" s="1"/>
  <c r="W59" i="9"/>
  <c r="X59" i="9" s="1"/>
  <c r="V62" i="9"/>
  <c r="W62" i="9" s="1"/>
  <c r="X62" i="9" s="1"/>
  <c r="V54" i="9"/>
  <c r="W54" i="9" s="1"/>
  <c r="X54" i="9" s="1"/>
  <c r="Z54" i="9" s="1"/>
  <c r="V53" i="9"/>
  <c r="W53" i="9" s="1"/>
  <c r="X53" i="9" s="1"/>
  <c r="W58" i="9"/>
  <c r="X58" i="9" s="1"/>
  <c r="W64" i="9"/>
  <c r="X64" i="9" s="1"/>
  <c r="X48" i="9"/>
  <c r="Z48" i="9" s="1"/>
  <c r="W49" i="9"/>
  <c r="X49" i="9" s="1"/>
  <c r="Z49" i="9" s="1"/>
  <c r="X40" i="9"/>
  <c r="Z40" i="9" s="1"/>
  <c r="W45" i="9"/>
  <c r="X45" i="9" s="1"/>
  <c r="V37" i="9"/>
  <c r="W37" i="9" s="1"/>
  <c r="X37" i="9" s="1"/>
  <c r="X46" i="9"/>
  <c r="Z46" i="9" s="1"/>
  <c r="W38" i="9"/>
  <c r="X38" i="9" s="1"/>
  <c r="V42" i="9"/>
  <c r="W42" i="9" s="1"/>
  <c r="X42" i="9" s="1"/>
  <c r="V39" i="9"/>
  <c r="W39" i="9" s="1"/>
  <c r="W34" i="9"/>
  <c r="X34" i="9" s="1"/>
  <c r="V32" i="9"/>
  <c r="W32" i="9" s="1"/>
  <c r="X32" i="9" s="1"/>
  <c r="Z32" i="9" s="1"/>
  <c r="V35" i="9"/>
  <c r="W35" i="9" s="1"/>
  <c r="V29" i="9"/>
  <c r="W29" i="9" s="1"/>
  <c r="W36" i="9"/>
  <c r="X36" i="9" s="1"/>
  <c r="Z36" i="9" s="1"/>
  <c r="W20" i="9"/>
  <c r="X20" i="9" s="1"/>
  <c r="W9" i="9"/>
  <c r="X9" i="9" s="1"/>
  <c r="Z9" i="9" s="1"/>
  <c r="X15" i="9"/>
  <c r="V13" i="9"/>
  <c r="W13" i="9" s="1"/>
  <c r="X13" i="9" s="1"/>
  <c r="Z13" i="9" s="1"/>
  <c r="V22" i="9"/>
  <c r="W22" i="9" s="1"/>
  <c r="W19" i="9"/>
  <c r="X19" i="9" s="1"/>
  <c r="Z19" i="9" s="1"/>
  <c r="X26" i="9"/>
  <c r="Z26" i="9" s="1"/>
  <c r="X23" i="9"/>
  <c r="Z23" i="9" s="1"/>
  <c r="W14" i="9"/>
  <c r="X14" i="9" s="1"/>
  <c r="Z14" i="9" s="1"/>
  <c r="V24" i="9"/>
  <c r="W24" i="9" s="1"/>
  <c r="V25" i="9"/>
  <c r="W25" i="9" s="1"/>
  <c r="X394" i="9" l="1"/>
  <c r="Z394" i="9" s="1"/>
  <c r="W402" i="9"/>
  <c r="X402" i="9" s="1"/>
  <c r="X259" i="9"/>
  <c r="Z259" i="9" s="1"/>
  <c r="W363" i="9"/>
  <c r="X363" i="9" s="1"/>
  <c r="Z363" i="9" s="1"/>
  <c r="X25" i="9"/>
  <c r="Z25" i="9" s="1"/>
  <c r="X255" i="9"/>
  <c r="Z255" i="9" s="1"/>
  <c r="X134" i="9"/>
  <c r="X315" i="9"/>
  <c r="Z315" i="9" s="1"/>
  <c r="X82" i="9"/>
  <c r="X35" i="9"/>
  <c r="X307" i="9"/>
  <c r="Z307" i="9" s="1"/>
  <c r="X226" i="9"/>
  <c r="X153" i="9"/>
  <c r="Z153" i="9" s="1"/>
  <c r="X184" i="9"/>
  <c r="X113" i="9"/>
  <c r="Z113" i="9" s="1"/>
  <c r="W291" i="9"/>
  <c r="X291" i="9" s="1"/>
  <c r="X345" i="9"/>
  <c r="X340" i="9"/>
  <c r="Z340" i="9" s="1"/>
  <c r="X330" i="9"/>
  <c r="W251" i="9"/>
  <c r="X251" i="9" s="1"/>
  <c r="Z251" i="9" s="1"/>
  <c r="X196" i="9"/>
  <c r="X200" i="9"/>
  <c r="X193" i="9"/>
  <c r="X125" i="9"/>
  <c r="W116" i="9"/>
  <c r="X116" i="9" s="1"/>
  <c r="X102" i="9"/>
  <c r="Z102" i="9" s="1"/>
  <c r="X70" i="9"/>
  <c r="W69" i="9"/>
  <c r="X69" i="9" s="1"/>
  <c r="X57" i="9"/>
  <c r="X39" i="9"/>
  <c r="X29" i="9"/>
  <c r="X22" i="9"/>
  <c r="Z22" i="9" s="1"/>
  <c r="X24" i="9"/>
  <c r="Z24" i="9" s="1"/>
</calcChain>
</file>

<file path=xl/sharedStrings.xml><?xml version="1.0" encoding="utf-8"?>
<sst xmlns="http://schemas.openxmlformats.org/spreadsheetml/2006/main" count="1735" uniqueCount="1108">
  <si>
    <t>Total</t>
  </si>
  <si>
    <t>Average</t>
  </si>
  <si>
    <t>Candidate's Name</t>
  </si>
  <si>
    <t>NIC Number</t>
  </si>
  <si>
    <t>No</t>
  </si>
  <si>
    <t>National Co-operative Council of Sri Lanka</t>
  </si>
  <si>
    <t>Repeat</t>
  </si>
  <si>
    <t>AB</t>
  </si>
  <si>
    <t>Failure</t>
  </si>
  <si>
    <t>Ordinary Pass</t>
  </si>
  <si>
    <t>Second Class Upper</t>
  </si>
  <si>
    <t>Repeat Subject Code</t>
  </si>
  <si>
    <t>Final Grade</t>
  </si>
  <si>
    <r>
      <rPr>
        <b/>
        <sz val="12"/>
        <color indexed="8"/>
        <rFont val="Times New Roman"/>
        <family val="1"/>
      </rPr>
      <t>(75 &gt; =  D  -  Distinction)</t>
    </r>
    <r>
      <rPr>
        <b/>
        <sz val="12"/>
        <color indexed="8"/>
        <rFont val="DL-Paras.."/>
      </rPr>
      <t xml:space="preserve"> </t>
    </r>
    <r>
      <rPr>
        <b/>
        <sz val="12"/>
        <color indexed="8"/>
        <rFont val="Times New Roman"/>
        <family val="1"/>
      </rPr>
      <t>,</t>
    </r>
    <r>
      <rPr>
        <b/>
        <sz val="12"/>
        <color indexed="8"/>
        <rFont val="DL-Paras.."/>
      </rPr>
      <t xml:space="preserve"> </t>
    </r>
    <r>
      <rPr>
        <b/>
        <sz val="12"/>
        <color indexed="8"/>
        <rFont val="Times New Roman"/>
        <family val="1"/>
      </rPr>
      <t>(55 -74  =   C  -  Credit)</t>
    </r>
    <r>
      <rPr>
        <b/>
        <sz val="12"/>
        <color indexed="8"/>
        <rFont val="DL-Paras.."/>
      </rPr>
      <t xml:space="preserve"> </t>
    </r>
    <r>
      <rPr>
        <b/>
        <sz val="12"/>
        <color indexed="8"/>
        <rFont val="Times New Roman"/>
        <family val="1"/>
      </rPr>
      <t>,</t>
    </r>
    <r>
      <rPr>
        <b/>
        <sz val="12"/>
        <color indexed="8"/>
        <rFont val="DL-Paras.."/>
      </rPr>
      <t xml:space="preserve"> </t>
    </r>
    <r>
      <rPr>
        <b/>
        <sz val="12"/>
        <color indexed="8"/>
        <rFont val="Times New Roman"/>
        <family val="1"/>
      </rPr>
      <t>(35-54  =   S  - Simple Pass)</t>
    </r>
    <r>
      <rPr>
        <b/>
        <sz val="12"/>
        <color indexed="8"/>
        <rFont val="DL-Paras.."/>
      </rPr>
      <t xml:space="preserve"> </t>
    </r>
    <r>
      <rPr>
        <b/>
        <sz val="12"/>
        <color indexed="8"/>
        <rFont val="Times New Roman"/>
        <family val="1"/>
      </rPr>
      <t>,  (34&lt;</t>
    </r>
    <r>
      <rPr>
        <b/>
        <sz val="12"/>
        <color indexed="8"/>
        <rFont val="DL-Paras.."/>
      </rPr>
      <t xml:space="preserve"> </t>
    </r>
    <r>
      <rPr>
        <b/>
        <sz val="12"/>
        <color indexed="8"/>
        <rFont val="Times New Roman"/>
        <family val="1"/>
      </rPr>
      <t>F =  Failure) ,  (AB =  Absent)</t>
    </r>
  </si>
  <si>
    <t>-</t>
  </si>
  <si>
    <t>Index No</t>
  </si>
  <si>
    <t xml:space="preserve">Result Sheet </t>
  </si>
  <si>
    <t>Abeysinghe Herath Mudiyanselage Chamini Manojika Manike Abeysinghe</t>
  </si>
  <si>
    <t>925670316V</t>
  </si>
  <si>
    <t>24/CDC/5477</t>
  </si>
  <si>
    <t>Rajaguru Wasala Bandaranayaka Mudiyanselage Thanuja Dilani</t>
  </si>
  <si>
    <t>868282622V</t>
  </si>
  <si>
    <t>24/CDC/5478</t>
  </si>
  <si>
    <t>Wickramanayake Pathirannehelage Kavindya Divyanjalee Wickramanayake</t>
  </si>
  <si>
    <t>986140840V</t>
  </si>
  <si>
    <t>24/CDC/5479</t>
  </si>
  <si>
    <t>Balasooriya Mudiyanselage Nirmala Jayathilake Balasooriya</t>
  </si>
  <si>
    <t>24/CDC/5480</t>
  </si>
  <si>
    <t>CDOL 01 /03</t>
  </si>
  <si>
    <t>Deegalla Disage Dilki Shehani Dilhara Hami</t>
  </si>
  <si>
    <t>958180020V</t>
  </si>
  <si>
    <t>24/CDC/5481</t>
  </si>
  <si>
    <t>Pirisiyalage Dinushi Lakshika</t>
  </si>
  <si>
    <t>24/CDC/5482</t>
  </si>
  <si>
    <t>Jayasinghe Arachchige Gayani Kaushalya</t>
  </si>
  <si>
    <t>24/CDC/5483</t>
  </si>
  <si>
    <t>Wijesinghe Patabandalage Krishani Harshan Wijesinghe</t>
  </si>
  <si>
    <t>986600477V</t>
  </si>
  <si>
    <t>24/CDC/5484</t>
  </si>
  <si>
    <t>Maha Arachchige Dineshi Prasanthika</t>
  </si>
  <si>
    <t>987300612V</t>
  </si>
  <si>
    <t>24/CDC/5485</t>
  </si>
  <si>
    <t>CDOL 04/05</t>
  </si>
  <si>
    <t>Madampitige Thilini Wathsala</t>
  </si>
  <si>
    <t>987540931V</t>
  </si>
  <si>
    <t>24/CDC/5486</t>
  </si>
  <si>
    <t>Balasooriya Arachchige Piyumika Madhubhashini</t>
  </si>
  <si>
    <t>996802078V</t>
  </si>
  <si>
    <t>24/CDC/5487</t>
  </si>
  <si>
    <t>CDOL 04</t>
  </si>
  <si>
    <t>Welandahetti Pathiranalage Chathurika Niroshani</t>
  </si>
  <si>
    <t>837740355V</t>
  </si>
  <si>
    <t>24/CDC/5488</t>
  </si>
  <si>
    <t>Rasnayaka Mudiyanselage Sasikala Madhuwanthi Rasnayaka</t>
  </si>
  <si>
    <t>976070062V</t>
  </si>
  <si>
    <t>24/CDC/5489</t>
  </si>
  <si>
    <t>Hadunpurage Ursula Priyangani Pranandu</t>
  </si>
  <si>
    <t>855120089V</t>
  </si>
  <si>
    <t>24/CDC/5490</t>
  </si>
  <si>
    <t>Wiramundage Tharushi Asheka</t>
  </si>
  <si>
    <t>24/CDC/5491</t>
  </si>
  <si>
    <t>Warnakulasooriya Shanika Sadanjani Pranandu</t>
  </si>
  <si>
    <t>887820856V</t>
  </si>
  <si>
    <t>24/CDC/5492</t>
  </si>
  <si>
    <t>Suduwa Dewage Umesha Madhushani</t>
  </si>
  <si>
    <t>916260660 V</t>
  </si>
  <si>
    <t>24/CDC/5493</t>
  </si>
  <si>
    <t>Withanage Gihara Gimhani Perera</t>
  </si>
  <si>
    <t>968230050 V</t>
  </si>
  <si>
    <t>24/CDC/5494</t>
  </si>
  <si>
    <t>Payagala Waduge Darshika Piyumali</t>
  </si>
  <si>
    <t>24/CDC/5495</t>
  </si>
  <si>
    <t>Palkadapole Gedara Lakmini Chathurika Nadeeshani Bandara</t>
  </si>
  <si>
    <t>955502450 V</t>
  </si>
  <si>
    <t>24/CDC/5496</t>
  </si>
  <si>
    <t xml:space="preserve">Nilanga Liyanage </t>
  </si>
  <si>
    <t>926641590 V</t>
  </si>
  <si>
    <t>24/CDC/5497</t>
  </si>
  <si>
    <t>Walpolamudalige Dona Shyamali Renuka Kumari</t>
  </si>
  <si>
    <t>817230580 V</t>
  </si>
  <si>
    <t>24/CDC/5498</t>
  </si>
  <si>
    <t>Manadi Pathirannahalage Nalani Nilushika Pathirana</t>
  </si>
  <si>
    <t>827462080 V</t>
  </si>
  <si>
    <t>24/CDC/5499</t>
  </si>
  <si>
    <t>CDOL 03</t>
  </si>
  <si>
    <t>Matharage Prasanthi Chathurani</t>
  </si>
  <si>
    <t>906560259 V</t>
  </si>
  <si>
    <t>24/CDC/5500</t>
  </si>
  <si>
    <t>Karunamuni Indeewari Udeshika De Silva</t>
  </si>
  <si>
    <t>24/CDC/5501</t>
  </si>
  <si>
    <t>Hewa Kadawedduwage Dilanka Sandamali</t>
  </si>
  <si>
    <t>937461577 V</t>
  </si>
  <si>
    <t>24/CDC/5502</t>
  </si>
  <si>
    <t xml:space="preserve">Hashini Upeksha Galagedara </t>
  </si>
  <si>
    <t>986863451 V</t>
  </si>
  <si>
    <t>24/CDC/5503</t>
  </si>
  <si>
    <t>Kariyawasam weerasingha achchi chanika malshani</t>
  </si>
  <si>
    <t>24/CDC/5504</t>
  </si>
  <si>
    <t>24/CDC/5505</t>
  </si>
  <si>
    <t>24/CDC/5506</t>
  </si>
  <si>
    <t>24/CDC/5507</t>
  </si>
  <si>
    <t>24/CDC/5508</t>
  </si>
  <si>
    <t>24/CDC/5509</t>
  </si>
  <si>
    <t>937031998V</t>
  </si>
  <si>
    <t>24/CDC/5510</t>
  </si>
  <si>
    <t>985282480V</t>
  </si>
  <si>
    <t>24/CDC/5511</t>
  </si>
  <si>
    <t>24/CDC/5512</t>
  </si>
  <si>
    <t>985150362V</t>
  </si>
  <si>
    <t>24/CDC/5513</t>
  </si>
  <si>
    <t>796643447V</t>
  </si>
  <si>
    <t>24/CDC/5514</t>
  </si>
  <si>
    <t>955023188V</t>
  </si>
  <si>
    <t>24/CDC/5515</t>
  </si>
  <si>
    <t>24/CDC/5516</t>
  </si>
  <si>
    <t>797994502V</t>
  </si>
  <si>
    <t>24/CDC/5517</t>
  </si>
  <si>
    <t>907243990V</t>
  </si>
  <si>
    <t>24/CDC/5518</t>
  </si>
  <si>
    <t>deegala durage sriyani dhammika</t>
  </si>
  <si>
    <t>727920587V</t>
  </si>
  <si>
    <t>24/CDC/5519</t>
  </si>
  <si>
    <t>24/CDC/5520</t>
  </si>
  <si>
    <t>24/CDC/5521</t>
  </si>
  <si>
    <t>CDOL 02 /03</t>
  </si>
  <si>
    <t>24/CDC/5522</t>
  </si>
  <si>
    <t>817293166V</t>
  </si>
  <si>
    <t>24/CDC/5523</t>
  </si>
  <si>
    <t>24/CDC/5524</t>
  </si>
  <si>
    <t>24/CDC/5525</t>
  </si>
  <si>
    <t>24/CDC/5526</t>
  </si>
  <si>
    <t>825992324V</t>
  </si>
  <si>
    <t>24/CDC/5527</t>
  </si>
  <si>
    <t>877551164V</t>
  </si>
  <si>
    <t>24/CDC/5528</t>
  </si>
  <si>
    <t>24/CDC/5529</t>
  </si>
  <si>
    <t>725021852V</t>
  </si>
  <si>
    <t>24/CDC/5530</t>
  </si>
  <si>
    <t>902270817V</t>
  </si>
  <si>
    <t>24/CDC/5531</t>
  </si>
  <si>
    <t>24/CDC/5532</t>
  </si>
  <si>
    <t>987181990V</t>
  </si>
  <si>
    <t>24/CDC/5533</t>
  </si>
  <si>
    <t>CDOL 01</t>
  </si>
  <si>
    <t>24/CDC/5534</t>
  </si>
  <si>
    <t>797023213V</t>
  </si>
  <si>
    <t>24/CDC/5535</t>
  </si>
  <si>
    <t>24/CDC/5536</t>
  </si>
  <si>
    <t>995461404V</t>
  </si>
  <si>
    <t>24/CDC/5537</t>
  </si>
  <si>
    <t>24/CDC/5538</t>
  </si>
  <si>
    <t>gammadde goda liyanage lushanthi chamila vijesiri wardhana</t>
  </si>
  <si>
    <t>817340970V</t>
  </si>
  <si>
    <t>24/CDC/5539</t>
  </si>
  <si>
    <t>967643777V</t>
  </si>
  <si>
    <t>24/CDC/5540</t>
  </si>
  <si>
    <t>797962821V</t>
  </si>
  <si>
    <t>24/CDC/5541</t>
  </si>
  <si>
    <t>968482238V</t>
  </si>
  <si>
    <t>24/CDC/5542</t>
  </si>
  <si>
    <t>24/CDC/5543</t>
  </si>
  <si>
    <t>24/CDC/5544</t>
  </si>
  <si>
    <t>967433365V</t>
  </si>
  <si>
    <t>24/CDC/5545</t>
  </si>
  <si>
    <t>825020152V</t>
  </si>
  <si>
    <t>24/CDC/5546</t>
  </si>
  <si>
    <t>24/CDC/5547</t>
  </si>
  <si>
    <t>975583384V</t>
  </si>
  <si>
    <t>24/CDC/5548</t>
  </si>
  <si>
    <t>992572175V</t>
  </si>
  <si>
    <t>24/CDC/5549</t>
  </si>
  <si>
    <t>898283984V</t>
  </si>
  <si>
    <t>24/CDC/5550</t>
  </si>
  <si>
    <t>987733489V</t>
  </si>
  <si>
    <t>24/CDC/5551</t>
  </si>
  <si>
    <t>935962773V</t>
  </si>
  <si>
    <t>24/CDC/5552</t>
  </si>
  <si>
    <t>24/CDC/5553</t>
  </si>
  <si>
    <t>987842016V</t>
  </si>
  <si>
    <t>24/CDC/5554</t>
  </si>
  <si>
    <t>977380308V</t>
  </si>
  <si>
    <t>24/CDC/5555</t>
  </si>
  <si>
    <t>948102897V</t>
  </si>
  <si>
    <t>24/CDC/5556</t>
  </si>
  <si>
    <t>24/CDC/5557</t>
  </si>
  <si>
    <t>971901969V</t>
  </si>
  <si>
    <t>24/CDC/5558</t>
  </si>
  <si>
    <t>24/CDC/5559</t>
  </si>
  <si>
    <t>CDOL04 /06</t>
  </si>
  <si>
    <t>Siribaddanage Nuwan Chathuranga</t>
  </si>
  <si>
    <t>24/CDC/5560</t>
  </si>
  <si>
    <t>Denagamage Ajith Pushpa Kumara</t>
  </si>
  <si>
    <t>24/CDC/5561</t>
  </si>
  <si>
    <t>Dapana Durage Proboda Madushani</t>
  </si>
  <si>
    <t>917642524 V</t>
  </si>
  <si>
    <t>24/CDC/5562</t>
  </si>
  <si>
    <t>Gombaduge Purnima Sewwandi</t>
  </si>
  <si>
    <t>915154182 V</t>
  </si>
  <si>
    <t>24/CDC/5563</t>
  </si>
  <si>
    <t>Siriwardhana Manoshika Kavindi</t>
  </si>
  <si>
    <t>927952300 V</t>
  </si>
  <si>
    <t>24/CDC/5564</t>
  </si>
  <si>
    <t>Rathnayaka Weerakoon Widanagamage Dasuni Poornima</t>
  </si>
  <si>
    <t>978170625 V</t>
  </si>
  <si>
    <t>24/CDC/5565</t>
  </si>
  <si>
    <t>Nimasha Chathurangani Munasinghe</t>
  </si>
  <si>
    <t>976940598 V</t>
  </si>
  <si>
    <t>24/CDC/5566</t>
  </si>
  <si>
    <t>Waththage Imashi Sacheema</t>
  </si>
  <si>
    <t>997431618 V</t>
  </si>
  <si>
    <t>24/CDC/5567</t>
  </si>
  <si>
    <t>Wathiyage Givini Chathurangani</t>
  </si>
  <si>
    <t>987520620 V</t>
  </si>
  <si>
    <t>24/CDC/5568</t>
  </si>
  <si>
    <t>Madarasinghe Arachchige Anoma Chandani</t>
  </si>
  <si>
    <t>24/CDC/5569</t>
  </si>
  <si>
    <t>Nayana Manohari Rajapaksha</t>
  </si>
  <si>
    <t>887342652 V</t>
  </si>
  <si>
    <t>24/CDC/5570</t>
  </si>
  <si>
    <t>Dilani Ediriweera Rayasuriya</t>
  </si>
  <si>
    <t>816490405 V</t>
  </si>
  <si>
    <t>24/CDC/5571</t>
  </si>
  <si>
    <t>Ranga Mahanama Siriwardhana</t>
  </si>
  <si>
    <t>811250228 V</t>
  </si>
  <si>
    <t>24/CDC/5572</t>
  </si>
  <si>
    <t>Nambukara Wasam Mahasarangu Hewage Dinushi Wasana</t>
  </si>
  <si>
    <t>24/CDC/5573</t>
  </si>
  <si>
    <t>Hewa Nekathige Sandeepani Madushani</t>
  </si>
  <si>
    <t>997992326 V</t>
  </si>
  <si>
    <t>24/CDC/5574</t>
  </si>
  <si>
    <t>Rathnagoda Baranaduge Shiwanthi Anuradha</t>
  </si>
  <si>
    <t>24/CDC/5575</t>
  </si>
  <si>
    <t>Muthumala Parabendige Senuri Hirushani</t>
  </si>
  <si>
    <t>24/CDC/5576</t>
  </si>
  <si>
    <t>Kahakachci Patabandige Naduni Madushika</t>
  </si>
  <si>
    <t>996361900 V</t>
  </si>
  <si>
    <t>24/CDC/5577</t>
  </si>
  <si>
    <t>Pathinayaka Pathinagodage Sewmini Prarthana</t>
  </si>
  <si>
    <t>24/CDC/5578</t>
  </si>
  <si>
    <t>Keembiyage Shashikala Madushanki</t>
  </si>
  <si>
    <t>895563048 V</t>
  </si>
  <si>
    <t>24/CDC/5579</t>
  </si>
  <si>
    <t>Yatiyana Vidana Arachchige Dinusha Manori</t>
  </si>
  <si>
    <t>24/CDC/5580</t>
  </si>
  <si>
    <t>Rathnayaka Kankanamge Lalanka Anushani</t>
  </si>
  <si>
    <t>946571610 V</t>
  </si>
  <si>
    <t>24/CDC/5581</t>
  </si>
  <si>
    <t>Arthar Yuwani Yasodya Dewasurendra</t>
  </si>
  <si>
    <t>24/CDC/5582</t>
  </si>
  <si>
    <t>Singappulige Sachini Nisansala</t>
  </si>
  <si>
    <t>946230243V</t>
  </si>
  <si>
    <t>24/CDC/5583</t>
  </si>
  <si>
    <t>Suduwa Dewage Samitha Amani Fernando</t>
  </si>
  <si>
    <t>987220953V</t>
  </si>
  <si>
    <t>24/CDC/5584</t>
  </si>
  <si>
    <t>Krishnamoorthi Priyanganie</t>
  </si>
  <si>
    <t>24/CDC/5585</t>
  </si>
  <si>
    <t>Nakandalage Krishanthika Priyadarshani Alwis</t>
  </si>
  <si>
    <t>24/CDC/5586</t>
  </si>
  <si>
    <t>Kalugala Hewage Nirosha Malkanthi</t>
  </si>
  <si>
    <t>788561229V</t>
  </si>
  <si>
    <t>24/CDC/5587</t>
  </si>
  <si>
    <t>Gammanpila Appuhamilage Dona Kumudu Saranga</t>
  </si>
  <si>
    <t>906750600V</t>
  </si>
  <si>
    <t>24/CDC/5588</t>
  </si>
  <si>
    <t>Sudda Hewage Nelanga Sanjeewani</t>
  </si>
  <si>
    <t>816414539V</t>
  </si>
  <si>
    <t>24/CDC/5589</t>
  </si>
  <si>
    <t>Kodippilikanda Withanage Nimesha</t>
  </si>
  <si>
    <t>826260653V</t>
  </si>
  <si>
    <t>24/CDC/5590</t>
  </si>
  <si>
    <t>Senadheerage Saduni Ruwanthika</t>
  </si>
  <si>
    <t>24/CDC/5591</t>
  </si>
  <si>
    <t>Gunamuni Inusha Nethmi Silva</t>
  </si>
  <si>
    <t>998460751V</t>
  </si>
  <si>
    <t>24/CDC/5592</t>
  </si>
  <si>
    <t>CDOL 05/03</t>
  </si>
  <si>
    <t>Gamlakshage Dona Ashani Tharaka Kumari</t>
  </si>
  <si>
    <t>24/CDC/5593</t>
  </si>
  <si>
    <t>Angage Anuruddika Madushani Perera</t>
  </si>
  <si>
    <t>24/CDC/5594</t>
  </si>
  <si>
    <t xml:space="preserve">Duwage Hiruni Dilhara Jayasingha </t>
  </si>
  <si>
    <t>24/CDC/5596</t>
  </si>
  <si>
    <t>Batakeththarage Hashika Gayangi Fernando</t>
  </si>
  <si>
    <t>957570291V</t>
  </si>
  <si>
    <t>24/CDC/5597</t>
  </si>
  <si>
    <t>Hetti Widanaralalage Asha Nayana Rajini</t>
  </si>
  <si>
    <t>887550166V</t>
  </si>
  <si>
    <t>24/CDC/5598</t>
  </si>
  <si>
    <t>Palpolage Dona Janani Gangadhari Gunathilaka</t>
  </si>
  <si>
    <t>956672104V</t>
  </si>
  <si>
    <t>24/CDC/5599</t>
  </si>
  <si>
    <t>CDOL 01/03</t>
  </si>
  <si>
    <t>Kottage Malkumari Lankathilaka</t>
  </si>
  <si>
    <t>936101941V</t>
  </si>
  <si>
    <t>24/CDC/5600</t>
  </si>
  <si>
    <t>Kumaranga Hennadige Oshadi Shashikala Peiris</t>
  </si>
  <si>
    <t>24/CDC/5601</t>
  </si>
  <si>
    <t>Wickramage Thilini Nayanakanthi Kumarasinghe</t>
  </si>
  <si>
    <t>896682970 V</t>
  </si>
  <si>
    <t>24/CDC/5602</t>
  </si>
  <si>
    <t>Tennakoon Mudiyanselage Chandrika Tennakoon</t>
  </si>
  <si>
    <t>937332670 V</t>
  </si>
  <si>
    <t>24/CDC/5603</t>
  </si>
  <si>
    <t>Debagama Vidanalage Lakshani Bhagya</t>
  </si>
  <si>
    <t>24/CDC/5604</t>
  </si>
  <si>
    <t>Chinthi Deepisika Premathilaka Marasingha</t>
  </si>
  <si>
    <t>24/CDC/5605</t>
  </si>
  <si>
    <t>Marnikram Pedige Lakshmi Sumedika Somasiri</t>
  </si>
  <si>
    <t>92801312 V</t>
  </si>
  <si>
    <t>24/CDC/5606</t>
  </si>
  <si>
    <t>Hewa Pedige Dulani Praboda Pushpa Kumari</t>
  </si>
  <si>
    <t>24/CDC/5607</t>
  </si>
  <si>
    <t>Hewa Pedige Bhagya Sakunthala Mathusena</t>
  </si>
  <si>
    <t>947220543 V</t>
  </si>
  <si>
    <t>24/CDC/5608</t>
  </si>
  <si>
    <t>Kalu Arachcilage Thumeera Manula Kalu Arachchi</t>
  </si>
  <si>
    <t>942541759 V</t>
  </si>
  <si>
    <t>24/CDC/5609</t>
  </si>
  <si>
    <t>Ilandari Dewayalage Suresh Harshana Prabath Somarathna</t>
  </si>
  <si>
    <t>24/CDC/5610</t>
  </si>
  <si>
    <t>Jayalath Pedige Kavindu Dulshan Jayalath</t>
  </si>
  <si>
    <t>24/CDC/5611</t>
  </si>
  <si>
    <t>Wickramasinghage Anuradha Kokilani Wickramasingha</t>
  </si>
  <si>
    <t>907741630 V</t>
  </si>
  <si>
    <t>24/CDC/5612</t>
  </si>
  <si>
    <t>Herath Mudiyanselage Harshani Adikari</t>
  </si>
  <si>
    <t>855251256 V</t>
  </si>
  <si>
    <t>24/CDC/5613</t>
  </si>
  <si>
    <t>Agampodige Dinakshi Layanga Gunarathna</t>
  </si>
  <si>
    <t>977902177 V</t>
  </si>
  <si>
    <t>24/CDC/5614</t>
  </si>
  <si>
    <t>Udahenkanda Lekamlage Preshadini Shanika Disanayaka</t>
  </si>
  <si>
    <t>856613330 V</t>
  </si>
  <si>
    <t>24/CDC/5615</t>
  </si>
  <si>
    <t>Gabbela Balangodage Sandya Dimuthu Sandamali Jayasundara</t>
  </si>
  <si>
    <t>896032348 V</t>
  </si>
  <si>
    <t>24/CDC/5616</t>
  </si>
  <si>
    <t>Gamaethi Ralalage Anusha Priyanthi Pathirathna</t>
  </si>
  <si>
    <t>876002000 V</t>
  </si>
  <si>
    <t>24/CDC/5617</t>
  </si>
  <si>
    <t>Wane Hakurubaddalage Chalani Bhagya Samarawickrama</t>
  </si>
  <si>
    <t>938112118 V</t>
  </si>
  <si>
    <t>24/CDC/5618</t>
  </si>
  <si>
    <t>Jayaweera Arachchilage Dhanushka Sithara Samaraweera</t>
  </si>
  <si>
    <t>868452846 V</t>
  </si>
  <si>
    <t>24/CDC/5619</t>
  </si>
  <si>
    <t>Gama Ralalage Lalani Samanmali Gunathilaka</t>
  </si>
  <si>
    <t>24/CDC/5620</t>
  </si>
  <si>
    <t>Makanda Rallage Harsha Deepika Kumari</t>
  </si>
  <si>
    <t>908401336 V</t>
  </si>
  <si>
    <t>24/CDC/5621</t>
  </si>
  <si>
    <t>Galkolage Heshan Navodya Galkolage</t>
  </si>
  <si>
    <t>943651280 V</t>
  </si>
  <si>
    <t>24/CDC/5622</t>
  </si>
  <si>
    <t>Hapu Arachchillage Sachinthani Kaushalya Hapuarachchi</t>
  </si>
  <si>
    <t>915200311 V</t>
  </si>
  <si>
    <t>24/CDC/5623</t>
  </si>
  <si>
    <t>Thalwaththa Gedara Nadeesha Karunanayaka Bandara</t>
  </si>
  <si>
    <t>958291434 V</t>
  </si>
  <si>
    <t>24/CDC/5624</t>
  </si>
  <si>
    <t>Baththiram Pedige Nadeeka Thilosana Udayangani</t>
  </si>
  <si>
    <t>857930940 V</t>
  </si>
  <si>
    <t>24/CDC/5625</t>
  </si>
  <si>
    <t>Gamage Jeewanthika Madhusarani Rajapaksha</t>
  </si>
  <si>
    <t>24/CDC/5626</t>
  </si>
  <si>
    <t>Neketh Kiyannalage Nirosha Chamari Karunarathna</t>
  </si>
  <si>
    <t>865632177 V</t>
  </si>
  <si>
    <t>24/CDC/5627</t>
  </si>
  <si>
    <t>Hewa Rangappulige Nirosha</t>
  </si>
  <si>
    <t>24/CDC/5628</t>
  </si>
  <si>
    <t>Don Suranga Sandaruwan Wanigasooriya</t>
  </si>
  <si>
    <t>940211042 V</t>
  </si>
  <si>
    <t>24/CDC/5629</t>
  </si>
  <si>
    <t>Atulagamge Imalshi Oshini Kawindi Dayarathna</t>
  </si>
  <si>
    <t>24/CDC/5630</t>
  </si>
  <si>
    <t>Hewayalage Premani Tharanga Jenitha Kumari</t>
  </si>
  <si>
    <t>24/CDC/5631</t>
  </si>
  <si>
    <t>Kanathe Gedara Madhusha Subhashini</t>
  </si>
  <si>
    <t>885010555 V</t>
  </si>
  <si>
    <t>24/CDC/5632</t>
  </si>
  <si>
    <t>Mallika Arachchige Kaumini Thakshila Manori Nawarathna</t>
  </si>
  <si>
    <t>986540253 V</t>
  </si>
  <si>
    <t>24/CDC/5633</t>
  </si>
  <si>
    <t>Rajapaksha Pedige Chalani Hansika Rajapaksha</t>
  </si>
  <si>
    <t>977633826 V</t>
  </si>
  <si>
    <t>24/CDC/5634</t>
  </si>
  <si>
    <t>Uduwawe Gedara Sachinthana Thushan Gunasena</t>
  </si>
  <si>
    <t>911031116 V</t>
  </si>
  <si>
    <t>24/CDC/5635</t>
  </si>
  <si>
    <t>Liyana Hettirallage Prabha Udayangani Thilakarathna</t>
  </si>
  <si>
    <t>956151570 V</t>
  </si>
  <si>
    <t>24/CDC/5636</t>
  </si>
  <si>
    <t>Dambadeniya Arachchillage Dilhani Sepalika Somasiri</t>
  </si>
  <si>
    <t>24/CDC/5637</t>
  </si>
  <si>
    <t>Rathnayaka Mudiyanselage Jayantha Pradeep Kumara</t>
  </si>
  <si>
    <t>24/CDC/5638</t>
  </si>
  <si>
    <t>Hadigngnapola Appuhamilage Himasha Pubuduni</t>
  </si>
  <si>
    <t>996070808V</t>
  </si>
  <si>
    <t>24/CDC/5639</t>
  </si>
  <si>
    <t>Herath Pathirannahalage Gayathri Nisansala</t>
  </si>
  <si>
    <t>925350435V</t>
  </si>
  <si>
    <t>24/CDC/5640</t>
  </si>
  <si>
    <t>Abesinghe Arachchilage Saduni Sithara Dulanjali</t>
  </si>
  <si>
    <t>957791492V</t>
  </si>
  <si>
    <t>24/CDC/5641</t>
  </si>
  <si>
    <t>Bammanna Mudiyanselage Rukshila Jayasinghe</t>
  </si>
  <si>
    <t>888322256V</t>
  </si>
  <si>
    <t>24/CDC/5642</t>
  </si>
  <si>
    <t>Lekam Ralalage Sasikala Lakmali Karunarathna</t>
  </si>
  <si>
    <t>24/CDC/5643</t>
  </si>
  <si>
    <t>Liyana Pedige Sasani Weerasinghe</t>
  </si>
  <si>
    <t>877872602V</t>
  </si>
  <si>
    <t>24/CDC/5644</t>
  </si>
  <si>
    <t>Hakamuwa Lekamalage Chanduli Lawanya</t>
  </si>
  <si>
    <t>24/CDC/5645</t>
  </si>
  <si>
    <t>Vijjakara Banjanayalage Dewmini Kavindi</t>
  </si>
  <si>
    <t>24/CDC/5646</t>
  </si>
  <si>
    <t>Amarasinghe Arachchige Gimhani Udayangana amarasinghe</t>
  </si>
  <si>
    <t>997932340V</t>
  </si>
  <si>
    <t>24/CDC/5647</t>
  </si>
  <si>
    <t>Kurukula Arachchige Kavindya Gimhani</t>
  </si>
  <si>
    <t>24/CDC/5648</t>
  </si>
  <si>
    <t>Ramanayaka Mudiyanselage Dinusha Sandamali Senevirathna</t>
  </si>
  <si>
    <t>24/CDC/5649</t>
  </si>
  <si>
    <t>Jayathilaka mudiyanselage isuru Gihan Madhusankha</t>
  </si>
  <si>
    <t>992060301V</t>
  </si>
  <si>
    <t>24/CDC/5650</t>
  </si>
  <si>
    <t>Kasthuri Singhe Arachchilage Shehan Malisha Kasthuri Singhe</t>
  </si>
  <si>
    <t>24/CDC/5651</t>
  </si>
  <si>
    <t>Suriya Mudiyanselage Samuditha Karunarathna</t>
  </si>
  <si>
    <t>24/CDC/5652</t>
  </si>
  <si>
    <t>Kadinappulige Niroshan Chalana Kumarasiri</t>
  </si>
  <si>
    <t>24/CDC/5653</t>
  </si>
  <si>
    <t xml:space="preserve">Marasighe Arachchilage Nimanthika Marasinghe </t>
  </si>
  <si>
    <t>978503179V</t>
  </si>
  <si>
    <t>24/CDC/5654</t>
  </si>
  <si>
    <t>Veda Gedaralage Danushika Lasanthi Chanika Jayarathna</t>
  </si>
  <si>
    <t>947662376V</t>
  </si>
  <si>
    <t>24/CDC/5655</t>
  </si>
  <si>
    <t>Sudu Dewage Piyarka Sumuduni</t>
  </si>
  <si>
    <t>895424161V</t>
  </si>
  <si>
    <t>24/CDC/5656</t>
  </si>
  <si>
    <t>Konarasinghe Mudiyanselage Indunil Muthumali Konarasinghe</t>
  </si>
  <si>
    <t>935951470V</t>
  </si>
  <si>
    <t>24/CDC/5657</t>
  </si>
  <si>
    <t>Thanippulige Anjani Iresha Gunarathna</t>
  </si>
  <si>
    <t>996022560V</t>
  </si>
  <si>
    <t>24/CDC/5658</t>
  </si>
  <si>
    <t>Chandrasekara Mudiyanselage Shashini Ishara Chandrasekara</t>
  </si>
  <si>
    <t>978583601V</t>
  </si>
  <si>
    <t>24/CDC/5659</t>
  </si>
  <si>
    <t>Thuyya Handilage Rashmi Kavindya De Silwa</t>
  </si>
  <si>
    <t>24/CDC/5660</t>
  </si>
  <si>
    <t>Hathurusinha Dewalage Sachini Dilshani Senanayaka</t>
  </si>
  <si>
    <t>24/CDC/5661</t>
  </si>
  <si>
    <t>Jayamanna Arachchilage Dilukshi Hansika Madhushani</t>
  </si>
  <si>
    <t>987090642V</t>
  </si>
  <si>
    <t>24/CDC/5662</t>
  </si>
  <si>
    <t>Rathnayaka Mudiyanselage Iresha Harshani Rathnayaka</t>
  </si>
  <si>
    <t>956961017V</t>
  </si>
  <si>
    <t>24/CDC/5663</t>
  </si>
  <si>
    <t>Ranasinghe Arachchilage Ruwini Shiroma Ranasinghe</t>
  </si>
  <si>
    <t>968204033V</t>
  </si>
  <si>
    <t>24/CDC/5664</t>
  </si>
  <si>
    <t>Rammanna Dewayala Chathurika Subodhani Kalugalla</t>
  </si>
  <si>
    <t>928600580V</t>
  </si>
  <si>
    <t>24/CDC/5665</t>
  </si>
  <si>
    <t>Belgoda Dewayalage Dhammika Kumari Ariyawansha</t>
  </si>
  <si>
    <t>815702093V</t>
  </si>
  <si>
    <t>24/CDC/5666</t>
  </si>
  <si>
    <t>Vishnaka Mohotti Mudiyanselage Iresha Chandani Senarath</t>
  </si>
  <si>
    <t>938502501V</t>
  </si>
  <si>
    <t>24/CDC/5667</t>
  </si>
  <si>
    <t>Wejesingha Arachchilage Dilani Lakmali Wijesingha</t>
  </si>
  <si>
    <t>24/CDC/5668</t>
  </si>
  <si>
    <t>Basnayaka Mudiyanselage Wasundara Kumari Basnayaka</t>
  </si>
  <si>
    <t>917601739V</t>
  </si>
  <si>
    <t>24/CDC/5669</t>
  </si>
  <si>
    <t>Ekanayaka Mudiyanselage Wimala Ekanayaka</t>
  </si>
  <si>
    <t>827761540V</t>
  </si>
  <si>
    <t>24/CDC/5670</t>
  </si>
  <si>
    <t>Sinhadipathi Panikkiyalage Chamila Priyadarshani</t>
  </si>
  <si>
    <t>24/CDC/5671</t>
  </si>
  <si>
    <t>Deegalle Mudiyanselege Sumudu Nishansala Wijerathna</t>
  </si>
  <si>
    <t>917680760V</t>
  </si>
  <si>
    <t>24/CDC/5672</t>
  </si>
  <si>
    <t>Jagodage Udeni Iresha Dais</t>
  </si>
  <si>
    <t>925180300V</t>
  </si>
  <si>
    <t>24/CDC/5673</t>
  </si>
  <si>
    <t>Rajakaruna Mudiyanselage nadeesha Srimali Rajakaruna</t>
  </si>
  <si>
    <t>24/CDC/5674</t>
  </si>
  <si>
    <t>Madushan Kumarage</t>
  </si>
  <si>
    <t>953214172V</t>
  </si>
  <si>
    <t>24/CDC/5675</t>
  </si>
  <si>
    <t>Sugath Dissanayakalage Hasitha Dilhara Chandrasiri</t>
  </si>
  <si>
    <t>941892515V</t>
  </si>
  <si>
    <t>24/CDC/5676</t>
  </si>
  <si>
    <t>CDOL 01/06</t>
  </si>
  <si>
    <t>Samarappuli Dewalage Chandrika Weerasingha</t>
  </si>
  <si>
    <t>847240350V</t>
  </si>
  <si>
    <t>24/CDC/5677</t>
  </si>
  <si>
    <t>Karunarathna Mudiyanselage lakmali Shashiprabha Sumanadasa</t>
  </si>
  <si>
    <t>878112180V</t>
  </si>
  <si>
    <t>24/CDC/5678</t>
  </si>
  <si>
    <t>Meragalge Gayani Arunashanthi Hettiarachchi</t>
  </si>
  <si>
    <t>815441044V</t>
  </si>
  <si>
    <t>24/CDC/5679</t>
  </si>
  <si>
    <t xml:space="preserve">Wijekoon Mudiyanselage Samudra Madubashani Wijekoon </t>
  </si>
  <si>
    <t>916023219V</t>
  </si>
  <si>
    <t>24/CDC/5680</t>
  </si>
  <si>
    <t>Dissanayaka Ravindika Upekshani Welegedara</t>
  </si>
  <si>
    <t>24/CDC/5681</t>
  </si>
  <si>
    <t>Wijesingha Mudiyanselage Priyadarshani Wijesingha</t>
  </si>
  <si>
    <t>848211915V</t>
  </si>
  <si>
    <t>24/CDC/5682</t>
  </si>
  <si>
    <t>Denethi Dewmini Gallage</t>
  </si>
  <si>
    <t>996061329V</t>
  </si>
  <si>
    <t>24/CDC/5683</t>
  </si>
  <si>
    <t>Jayasundara Mudiyanselage Chamathka Hansini Dharmathilaka</t>
  </si>
  <si>
    <t>9759921360V</t>
  </si>
  <si>
    <t>24/CDC/5684</t>
  </si>
  <si>
    <t>Disanayaka Mudiyanselage Madhurangi Lakshika Senewirathna</t>
  </si>
  <si>
    <t>916900414V</t>
  </si>
  <si>
    <t>24/CDC/5685</t>
  </si>
  <si>
    <t>Muthugal Pedi Durayalage Buddhika Madushani Weerasinghe</t>
  </si>
  <si>
    <t>24/CDC/5686</t>
  </si>
  <si>
    <t>Palle Welayale Gedara Anupama Kalpani Welagedara</t>
  </si>
  <si>
    <t>24/CDC/5687</t>
  </si>
  <si>
    <t>Kadar Rafaideenge Sajeeha Khan</t>
  </si>
  <si>
    <t>946313467V</t>
  </si>
  <si>
    <t>24/CDC/5688</t>
  </si>
  <si>
    <t>Wickramasinghage Nadeeka Darshani Wickramasingha</t>
  </si>
  <si>
    <t>24/CDC/5689</t>
  </si>
  <si>
    <t>Karuna Pedige Hiruni Gimhani Dharmasiri</t>
  </si>
  <si>
    <t>997395727V</t>
  </si>
  <si>
    <t>24/CDC/5690</t>
  </si>
  <si>
    <t>Kariyapperuma Mudiyanselage Gihani Hansika Dayarathna</t>
  </si>
  <si>
    <t>985292540V</t>
  </si>
  <si>
    <t>24/CDC/5691</t>
  </si>
  <si>
    <t>Rajapaksha Pedi Durayalage Subadra Lakmali Amarasingha</t>
  </si>
  <si>
    <t>968250450V</t>
  </si>
  <si>
    <t>24/CDC/5692</t>
  </si>
  <si>
    <t>Munasingha Pathiranage Chami Vilasani Munasingha</t>
  </si>
  <si>
    <t>987773634V</t>
  </si>
  <si>
    <t>24/CDC/5693</t>
  </si>
  <si>
    <t>Kande Kumbure Mudiyanselage Kanchana Sumudu Kumari</t>
  </si>
  <si>
    <t>977882729V</t>
  </si>
  <si>
    <t>24/CDC/5694</t>
  </si>
  <si>
    <t xml:space="preserve">Jayasingha Arachchige Sadhani Chathurika Jayasingha </t>
  </si>
  <si>
    <t>927001586V</t>
  </si>
  <si>
    <t>24/CDC/5695</t>
  </si>
  <si>
    <t>Weerayalage Gedara Achinika Dilshani Karunarathna</t>
  </si>
  <si>
    <t>24/CDC/5696</t>
  </si>
  <si>
    <t>Kithalawa Arachchilage Suranji Manomani kulathunga</t>
  </si>
  <si>
    <t>24/CDC/5697</t>
  </si>
  <si>
    <t>Dissanayaka Mudiyanselage Chandrika Dissanayaka</t>
  </si>
  <si>
    <t>24/CDC/5698</t>
  </si>
  <si>
    <t>Pula Durayalage Ayesha Nayana Kumari</t>
  </si>
  <si>
    <t>925651699V</t>
  </si>
  <si>
    <t>24/CDC/5699</t>
  </si>
  <si>
    <t>Ganehi Achchillage Ishani Dilanka Jayakodi</t>
  </si>
  <si>
    <t>935960541V</t>
  </si>
  <si>
    <t>24/CDC/5700</t>
  </si>
  <si>
    <t>Imi Hamillage Nadeesha Amali Jayasundara</t>
  </si>
  <si>
    <t>908082150V</t>
  </si>
  <si>
    <t>24/CDC/5701</t>
  </si>
  <si>
    <t>Ekanayaka Mudiyanselage Chandima Damayanthi Ekanayaka</t>
  </si>
  <si>
    <t>847720115V</t>
  </si>
  <si>
    <t>24/CDC/5702</t>
  </si>
  <si>
    <t>Sawwa Dewayalage Rakitha Prabhath Senavirathna</t>
  </si>
  <si>
    <t>24/CDC/5703</t>
  </si>
  <si>
    <t>Menika Nekaththalage Pawani Madubhashani Jayalath</t>
  </si>
  <si>
    <t>935964393V</t>
  </si>
  <si>
    <t>24/CDC/5704</t>
  </si>
  <si>
    <t>Ranasingha Arachchilage Sunil Udayasiri</t>
  </si>
  <si>
    <t>24/CDC/5705</t>
  </si>
  <si>
    <t>CDOL 03/06</t>
  </si>
  <si>
    <t>Yapa Mudiyanselage Indika Kumara Yapa</t>
  </si>
  <si>
    <t>900780974V</t>
  </si>
  <si>
    <t>24/CDC/5706</t>
  </si>
  <si>
    <t>Konara Mudiyanselage Arunthika Deepani Thilakarathna</t>
  </si>
  <si>
    <t>928510174V</t>
  </si>
  <si>
    <t>24/CDC/5707</t>
  </si>
  <si>
    <t>Nayakarathna Mudiyanselage Dammika Shyamalee Nayakarathna</t>
  </si>
  <si>
    <t>807571419V</t>
  </si>
  <si>
    <t>24/CDC/5708</t>
  </si>
  <si>
    <t>Hetti Arachchige Nadeeka Sampath</t>
  </si>
  <si>
    <t>865610130V</t>
  </si>
  <si>
    <t>24/CDC/5709</t>
  </si>
  <si>
    <t>Rathnayakage Deshani Nimalsha Rathnayaka</t>
  </si>
  <si>
    <t>24/CDC/5710</t>
  </si>
  <si>
    <t>Rankotha durayalage Sagarika Dilhani Rankoth</t>
  </si>
  <si>
    <t>837793289V</t>
  </si>
  <si>
    <t>24/CDC/5711</t>
  </si>
  <si>
    <t>Weesingha Mudiyanselage Dinithi Yashodya Weesinghe</t>
  </si>
  <si>
    <t>24/CDC/5712</t>
  </si>
  <si>
    <t>Dodamkumbura Mudiyanselage Shalika Sanjeewani Dodamkumbura</t>
  </si>
  <si>
    <t>836070186V</t>
  </si>
  <si>
    <t>24/CDC/5713</t>
  </si>
  <si>
    <t>Buwanekabahu Hiththara Naidelage Dulakshi Sanjula Jayathunga</t>
  </si>
  <si>
    <t>24/CDC/5714</t>
  </si>
  <si>
    <t>Nuwara Passa Pedige Mali Dharmathilaka</t>
  </si>
  <si>
    <t>24/CDC/5715</t>
  </si>
  <si>
    <t>Galoya Dewayalage Sunethra Damayanthi Kusumlatha</t>
  </si>
  <si>
    <t>837991390V</t>
  </si>
  <si>
    <t>24/CDC/5716</t>
  </si>
  <si>
    <t>Ekanayaka Mudiyanselage Anusha Kumari Ekanayaka</t>
  </si>
  <si>
    <t>896394215V</t>
  </si>
  <si>
    <t>24/CDC/5718</t>
  </si>
  <si>
    <t>Suredara Wedalage Sunethra Jayalath</t>
  </si>
  <si>
    <t>24/CDC/5719</t>
  </si>
  <si>
    <t xml:space="preserve">Wanninayaka Mudiyanselage Anusha Priyadarshani Wanninayaka </t>
  </si>
  <si>
    <t>24/CDC/5720</t>
  </si>
  <si>
    <t>Ihala Gedara Suneetha Nilankumari</t>
  </si>
  <si>
    <t>835812090V</t>
  </si>
  <si>
    <t>24/CDC/5721</t>
  </si>
  <si>
    <t>Muthunayaka Pedige Sunethra Priyangani</t>
  </si>
  <si>
    <t>24/CDC/5722</t>
  </si>
  <si>
    <t>Dissanayaka Mudiyanselage Anusha Priyanthi Kumari Dissanayaka</t>
  </si>
  <si>
    <t>876051753V</t>
  </si>
  <si>
    <t>24/CDC/5723</t>
  </si>
  <si>
    <t>Rankoth Pedige Devika Madhuwanthi Wijerathna</t>
  </si>
  <si>
    <t>906060248V</t>
  </si>
  <si>
    <t>24/CDC/5724</t>
  </si>
  <si>
    <t>Herath Pathiranage Lakshmi Ramya Kumari Herath</t>
  </si>
  <si>
    <t>807013505V</t>
  </si>
  <si>
    <t>24/CDC/5725</t>
  </si>
  <si>
    <t>Rathnayaka Mudiyanselage Kamani Nimasha Aberathna</t>
  </si>
  <si>
    <t>937022689V</t>
  </si>
  <si>
    <t>24/CDC/5726</t>
  </si>
  <si>
    <t>Jayakody Arachchilage Sudarma Iranganee</t>
  </si>
  <si>
    <t>818573219V</t>
  </si>
  <si>
    <t>24/CDC/5727</t>
  </si>
  <si>
    <t>Appuhami Arachchillage Suramya Herath Dasanayaka</t>
  </si>
  <si>
    <t>897811278V</t>
  </si>
  <si>
    <t>24/CDC/5728</t>
  </si>
  <si>
    <t>Herath Mudiyanselage Niluka Priyadarshani Herath</t>
  </si>
  <si>
    <t>24/CDC/5729</t>
  </si>
  <si>
    <t>Hitihamillage Madusha Pubudu Roshana Bandara Wanasingha</t>
  </si>
  <si>
    <t>913330250V</t>
  </si>
  <si>
    <t>24/CDC/5730</t>
  </si>
  <si>
    <t>Sala Wiriduwalage Wijitha Kumara</t>
  </si>
  <si>
    <t>24/CDC/5731</t>
  </si>
  <si>
    <t>Dissanayaka Mudiyanselage Nimal Dissanayaka</t>
  </si>
  <si>
    <t>24/CDC/5732</t>
  </si>
  <si>
    <t>Silippu Mudiyanselage Muditha Lakmini Ranathunge</t>
  </si>
  <si>
    <t>945751630V</t>
  </si>
  <si>
    <t>24/CDC/5733</t>
  </si>
  <si>
    <t>Hetti Arachchilage Thiruni Priyangika Chandani Hettiarachchi</t>
  </si>
  <si>
    <t>855392518V</t>
  </si>
  <si>
    <t>24/CDC/5734</t>
  </si>
  <si>
    <t>Abasingha Mudiyanselage Wellamaluwe Gedara Sansala Tharushi Dissanayaka</t>
  </si>
  <si>
    <t>24/CDC/5735</t>
  </si>
  <si>
    <t>Hapuwalage Nimalsha Madhuwanthi</t>
  </si>
  <si>
    <t>24/CDC/5736</t>
  </si>
  <si>
    <t>Hiyara Gamage Dinodhya Thilomini Gamage</t>
  </si>
  <si>
    <t>977062063V</t>
  </si>
  <si>
    <t>24/CDC/5737</t>
  </si>
  <si>
    <t xml:space="preserve">Irosha Sandamali Lankangani Munasingha </t>
  </si>
  <si>
    <t>826251107V</t>
  </si>
  <si>
    <t>24/CDC/5738</t>
  </si>
  <si>
    <t>Samodya Sathsarani Jayawikrama</t>
  </si>
  <si>
    <t>24/CDC/5739</t>
  </si>
  <si>
    <t>Epage Shashika Niroshani</t>
  </si>
  <si>
    <t>875800973V</t>
  </si>
  <si>
    <t>24/CDC/5740</t>
  </si>
  <si>
    <t>Uyangodage Sanduni Lakshani</t>
  </si>
  <si>
    <t>955850206V</t>
  </si>
  <si>
    <t>24/CDC/5741</t>
  </si>
  <si>
    <t>Nupe Hewage Deepika</t>
  </si>
  <si>
    <t>757530040V</t>
  </si>
  <si>
    <t>24/CDC/5742</t>
  </si>
  <si>
    <t>Hewa Juwan Kankanamge Ishanka Niroshani</t>
  </si>
  <si>
    <t>925771732V</t>
  </si>
  <si>
    <t>24/CDC/5743</t>
  </si>
  <si>
    <t>Thumbe Gamage Padma</t>
  </si>
  <si>
    <t>727863060V</t>
  </si>
  <si>
    <t>24/CDC/5744</t>
  </si>
  <si>
    <t>Hewa Walgamage Pathma Kanthi</t>
  </si>
  <si>
    <t>787270473V</t>
  </si>
  <si>
    <t>24/CDC/5745</t>
  </si>
  <si>
    <t>Weerappulige Thushari Gunarathna</t>
  </si>
  <si>
    <t>846693726V</t>
  </si>
  <si>
    <t>24/CDC/5746</t>
  </si>
  <si>
    <t>Nilantha Pathirathna</t>
  </si>
  <si>
    <t>24/CDC/5747</t>
  </si>
  <si>
    <t>CDOL 03/05</t>
  </si>
  <si>
    <t xml:space="preserve">Hewa Hakuruge Maheshika Dulani </t>
  </si>
  <si>
    <t>24/CDC/5748</t>
  </si>
  <si>
    <t>Hewapare Godage Rushani Sirilak Sujeewani</t>
  </si>
  <si>
    <t>897954591V</t>
  </si>
  <si>
    <t>24/CDC/5749</t>
  </si>
  <si>
    <t>Kiralawalle Muhandiramge Amila Kasun</t>
  </si>
  <si>
    <t>952371347V</t>
  </si>
  <si>
    <t>24/CDC/5750</t>
  </si>
  <si>
    <t>Latha Rubasingha</t>
  </si>
  <si>
    <t>736153416V</t>
  </si>
  <si>
    <t>24/CDC/5751</t>
  </si>
  <si>
    <t>Hewa Nalagamage Geetha Shyamali</t>
  </si>
  <si>
    <t>24/CDC/5752</t>
  </si>
  <si>
    <t>Weragama Galganage Dhammika Weragama</t>
  </si>
  <si>
    <t>748452788V</t>
  </si>
  <si>
    <t>24/CDC/5753</t>
  </si>
  <si>
    <t>Abeyrathna Wijesingha Arachchige Kanthi</t>
  </si>
  <si>
    <t>716171973V</t>
  </si>
  <si>
    <t>24/CDC/5754</t>
  </si>
  <si>
    <t>Gamage Tharindu</t>
  </si>
  <si>
    <t>950661283V</t>
  </si>
  <si>
    <t>24/CDC/5755</t>
  </si>
  <si>
    <t>Vidanagama Arachchige Chintha</t>
  </si>
  <si>
    <t>746270712V</t>
  </si>
  <si>
    <t>24/CDC/5756</t>
  </si>
  <si>
    <t>Kamare Arachchige Sumeda</t>
  </si>
  <si>
    <t>778154080V</t>
  </si>
  <si>
    <t>24/CDC/5757</t>
  </si>
  <si>
    <t>Bamunu Arachchige Aruna Sampath Maduranga</t>
  </si>
  <si>
    <t>902610804V</t>
  </si>
  <si>
    <t>24/CDC/5758</t>
  </si>
  <si>
    <t>Kaludurage Hansi Nisansala Madurangi</t>
  </si>
  <si>
    <t>907544338V</t>
  </si>
  <si>
    <t>24/CDC/5759</t>
  </si>
  <si>
    <t>Hewa Pattiya Welage Norin Yamuna Yureshani</t>
  </si>
  <si>
    <t>24/CDC/5760</t>
  </si>
  <si>
    <t>Chathura Eranga Madushan Liyanage</t>
  </si>
  <si>
    <t>843291562V</t>
  </si>
  <si>
    <t>24/CDC/5761</t>
  </si>
  <si>
    <t>Kankanam Pathiranage Achini Prasadi</t>
  </si>
  <si>
    <t>988062766V</t>
  </si>
  <si>
    <t>24/CDC/5762</t>
  </si>
  <si>
    <t>Hiththetiya Arachchige Pramila Lakmali</t>
  </si>
  <si>
    <t>898492559V</t>
  </si>
  <si>
    <t>24/CDC/5763</t>
  </si>
  <si>
    <t>Walagedara Gamage Thanuja Thejani</t>
  </si>
  <si>
    <t>777062506V</t>
  </si>
  <si>
    <t>24/CDC/5764</t>
  </si>
  <si>
    <t>Thila Kumarage Dilani Jeewanthi Niwarthana</t>
  </si>
  <si>
    <t>877630048V</t>
  </si>
  <si>
    <t>24/CDC/5765</t>
  </si>
  <si>
    <t>Wewaththa Mudalige Ravindra Sanjaya</t>
  </si>
  <si>
    <t>761031031V</t>
  </si>
  <si>
    <t>24/CDC/5766</t>
  </si>
  <si>
    <t>Rajapaksha Kankanamge Anurada Parami</t>
  </si>
  <si>
    <t>915632971 V</t>
  </si>
  <si>
    <t>24/CDC/5767</t>
  </si>
  <si>
    <t>Aththanayaka Mudiyanselage Priyangika Sanjeewani Aththanayaka</t>
  </si>
  <si>
    <t>917533377 V</t>
  </si>
  <si>
    <t>24/CDC/5768</t>
  </si>
  <si>
    <t>Shyamali Sewwandika Kurukulasooriya</t>
  </si>
  <si>
    <t>846680284 V</t>
  </si>
  <si>
    <t>24/CDC/5769</t>
  </si>
  <si>
    <t>Madagedara Chandana Nishan Kumara</t>
  </si>
  <si>
    <t>24/CDC/5770</t>
  </si>
  <si>
    <t>Nambukara Thanthirige Jayani Sakunthala</t>
  </si>
  <si>
    <t>24/CDC/5771</t>
  </si>
  <si>
    <t>Disanayaka Mudiyanselage Janaki Pushpa Kumari</t>
  </si>
  <si>
    <t>977003180 V</t>
  </si>
  <si>
    <t>24/CDC/5772</t>
  </si>
  <si>
    <t>Brahmanage Rasanjali Sulochana</t>
  </si>
  <si>
    <t>948210509 V</t>
  </si>
  <si>
    <t>24/CDC/5773</t>
  </si>
  <si>
    <t>Kondara Gamage Dinusha Dilrukshi</t>
  </si>
  <si>
    <t>876363879 V</t>
  </si>
  <si>
    <t>24/CDC/5774</t>
  </si>
  <si>
    <t>Suwada Hennadige Randini Yamuna Lakshmi</t>
  </si>
  <si>
    <t>24/CDC/5775</t>
  </si>
  <si>
    <t>Jothimuni Sanduni Kavindya</t>
  </si>
  <si>
    <t>24/CDC/5776</t>
  </si>
  <si>
    <t>Amali Dayanthika Ranasinghe</t>
  </si>
  <si>
    <t>936272320 V</t>
  </si>
  <si>
    <t>24/CDC/5777</t>
  </si>
  <si>
    <t>Waththe Gedara Kalyani Ganga</t>
  </si>
  <si>
    <t>24/CDC/5778</t>
  </si>
  <si>
    <t>Rathnayaka Mudiyanselage Gayathri Dineshika Rathnayaka</t>
  </si>
  <si>
    <t>946993050 V</t>
  </si>
  <si>
    <t>24/CDC/5779</t>
  </si>
  <si>
    <t>Kankanam Gedara Sashini Navodya Lakshani Piyarathna</t>
  </si>
  <si>
    <t>24/CDC/5780</t>
  </si>
  <si>
    <t>Rajapaksha Mudiyanselage Devika Sudarshanee Rajapaksha</t>
  </si>
  <si>
    <t>807040995 V</t>
  </si>
  <si>
    <t>24/CDC/5781</t>
  </si>
  <si>
    <t>Rajapaksha Mudiyanselage Niluka Dilrukshi Rajapaksha</t>
  </si>
  <si>
    <t>845161127 V</t>
  </si>
  <si>
    <t>24/CDC/5782</t>
  </si>
  <si>
    <t>Second Class Lower</t>
  </si>
  <si>
    <t>Balasooriya Arachchige Dilini Randima</t>
  </si>
  <si>
    <t>868380985 V</t>
  </si>
  <si>
    <t>24/CDC/5783</t>
  </si>
  <si>
    <t>Sinhala Pedigedara Dinushika Madushani Gunasinghe</t>
  </si>
  <si>
    <t>966011696 V</t>
  </si>
  <si>
    <t>24/CDC/5784</t>
  </si>
  <si>
    <t>Purane Gedara Kasun Duleep Karunarathna</t>
  </si>
  <si>
    <t>970482563 V</t>
  </si>
  <si>
    <t>24/CDC/5785</t>
  </si>
  <si>
    <t>Disanayaka Mudiyanselage Dilshani Kumari Disanayaka</t>
  </si>
  <si>
    <t>946932558 V</t>
  </si>
  <si>
    <t>24/CDC/5786</t>
  </si>
  <si>
    <t>Herath Ralalage Shalika Kumari Herath</t>
  </si>
  <si>
    <t>845421234 V</t>
  </si>
  <si>
    <t>24/CDC/5787</t>
  </si>
  <si>
    <t>Rambukgete Gedara Chandrika Nelum Jayasinghe</t>
  </si>
  <si>
    <t>938631972 V</t>
  </si>
  <si>
    <t>24/CDC/5788</t>
  </si>
  <si>
    <t>Uwawathte Gedara Menaka Sandamali Karunarathna</t>
  </si>
  <si>
    <t>24/CDC/5789</t>
  </si>
  <si>
    <t>Jahinge Thanuja Dilhani Widyarathna</t>
  </si>
  <si>
    <t>887533237V</t>
  </si>
  <si>
    <t>24/CDC/5790</t>
  </si>
  <si>
    <t>Widane Gamage Lukshika Anjali Jayasingha</t>
  </si>
  <si>
    <t>965281932V</t>
  </si>
  <si>
    <t>24/CDC/5791</t>
  </si>
  <si>
    <t>Kumburugamuwa Yaddehige Jayanthi Praveena Munasinghe</t>
  </si>
  <si>
    <t>975242951V</t>
  </si>
  <si>
    <t>24/CDC/5792</t>
  </si>
  <si>
    <t>Rajapaksha Liyanage Anushka Damayanthi Rajapaksha</t>
  </si>
  <si>
    <t>24/CDC/5793</t>
  </si>
  <si>
    <t>Mahawela Koratuwa Waththe Deshani Jayaruwan</t>
  </si>
  <si>
    <t>24/CDC/5794</t>
  </si>
  <si>
    <t>Senadeera Hewage Lalith Pradeep Nandasiri</t>
  </si>
  <si>
    <t>801580939V</t>
  </si>
  <si>
    <t>24/CDC/5795</t>
  </si>
  <si>
    <t>Gonalagoda Arachchige Parami Udayangani Premaratna</t>
  </si>
  <si>
    <t>24/CDC/5796</t>
  </si>
  <si>
    <t>Laththa Wiyannalage Sachini Nimesha Premathilaka</t>
  </si>
  <si>
    <t>24/CDC/5797</t>
  </si>
  <si>
    <t>Arandaralage Gayathri Maleesha</t>
  </si>
  <si>
    <t>937521790V</t>
  </si>
  <si>
    <t>24/CDC/5798</t>
  </si>
  <si>
    <t>Kothalawala Gamage Isani Menaka</t>
  </si>
  <si>
    <t>855661128V</t>
  </si>
  <si>
    <t>24/CDC/5799</t>
  </si>
  <si>
    <t>CDOL 04/01</t>
  </si>
  <si>
    <t>Mawatha Watha Wedaralalage Nisansala Suvimali Adathsooriya</t>
  </si>
  <si>
    <t>946272086V</t>
  </si>
  <si>
    <t>24/CDC/5800</t>
  </si>
  <si>
    <t>Nagoda Rapihewayalage Geethani Priyadarshika Nagoda</t>
  </si>
  <si>
    <t>24/CDC/5801</t>
  </si>
  <si>
    <t>Kankanamge Jayanthika Dhanukshi Dharmarathne</t>
  </si>
  <si>
    <t>917441480V</t>
  </si>
  <si>
    <t>24/CDC/5802</t>
  </si>
  <si>
    <t>Don Nisal Champika Wanigasooriya</t>
  </si>
  <si>
    <t>940471206V</t>
  </si>
  <si>
    <t>24/CDC/5803</t>
  </si>
  <si>
    <t>Attalawaththe Gamaethiralalage Dinithi Kavindi Senevirathna</t>
  </si>
  <si>
    <t>24/CDC/5804</t>
  </si>
  <si>
    <t>Ileperuma Kodithuwakku Arachchige Dilini Chathurika Kodithuwakku</t>
  </si>
  <si>
    <t>24/CDC/5805</t>
  </si>
  <si>
    <t>Liyanage Lakshitha Maduwanthi</t>
  </si>
  <si>
    <t>967380130V</t>
  </si>
  <si>
    <t>24/CDC/5806</t>
  </si>
  <si>
    <t>Pangukarage Chandrika Damayanthi</t>
  </si>
  <si>
    <t>845100403V</t>
  </si>
  <si>
    <t>24/CDC/5807</t>
  </si>
  <si>
    <t>Pathirage Nadeeka Damayanthi</t>
  </si>
  <si>
    <t>24/CDC/5808</t>
  </si>
  <si>
    <t>Masa Koralage Malshani Sadareka Ariyarathna</t>
  </si>
  <si>
    <t>935153859V</t>
  </si>
  <si>
    <t>24/CDC/5809</t>
  </si>
  <si>
    <t>Hetti Arachchie Roshan Buddika</t>
  </si>
  <si>
    <t>24/CDC/5810</t>
  </si>
  <si>
    <t>Abekonge Presadika Iroshani</t>
  </si>
  <si>
    <t>24/CDC/5811</t>
  </si>
  <si>
    <t>Wilabada Maanannalage Sithari Sandeepani Wilabada</t>
  </si>
  <si>
    <t>996030881V</t>
  </si>
  <si>
    <t>24/CDC/5812</t>
  </si>
  <si>
    <t>Meddegoda Lekamlage Amila Sampath Meddegoda</t>
  </si>
  <si>
    <t>961310237V</t>
  </si>
  <si>
    <t>24/CDC/5813</t>
  </si>
  <si>
    <t>Abesinha Widanalage Lalana Pubudu Darmadasa</t>
  </si>
  <si>
    <t>950662883V</t>
  </si>
  <si>
    <t>24/CDC/5814</t>
  </si>
  <si>
    <t>Edirisooriya Mudiyanselage Ishari Udeshika Edirisooriya</t>
  </si>
  <si>
    <t>967193305V</t>
  </si>
  <si>
    <t>24/CDC/5815</t>
  </si>
  <si>
    <t>Bogahage Salitha Damayanthi Gunawardhana</t>
  </si>
  <si>
    <t>997962621V</t>
  </si>
  <si>
    <t>24/CDC/5816</t>
  </si>
  <si>
    <t>Thepulangoda Mudiyanselage Lakmi Nirda</t>
  </si>
  <si>
    <t>24/CDC/5817</t>
  </si>
  <si>
    <t>Pethanchiyalage Sashinima Uthpala Wijesiri</t>
  </si>
  <si>
    <t>24/CDC/5818</t>
  </si>
  <si>
    <t>Miyanadeniya Manannalage Imarsha Dilshani Premarathna</t>
  </si>
  <si>
    <t>24/CDC/5819</t>
  </si>
  <si>
    <t>Hapuarachchi Vidanelage Sewmini Dilhani Punyasoma</t>
  </si>
  <si>
    <t>24/CDC/5820</t>
  </si>
  <si>
    <t>Witharamalage Piyumi Madushika Kumari Jayasinha</t>
  </si>
  <si>
    <t>24/CDC/5821</t>
  </si>
  <si>
    <t>Lokunarangodage Thilini Wasana Dayananda</t>
  </si>
  <si>
    <t>997580621V</t>
  </si>
  <si>
    <t>24/CDC/5822</t>
  </si>
  <si>
    <t>Kottage Dilki Sandamali</t>
  </si>
  <si>
    <t>24/CDC/5823</t>
  </si>
  <si>
    <t>Weththasinghage Don Ashika Pramodi</t>
  </si>
  <si>
    <t>995682923V</t>
  </si>
  <si>
    <t>24/CDC/5824</t>
  </si>
  <si>
    <t>Halthota Kankanamalage Buddhika Manodya Jayawardhana</t>
  </si>
  <si>
    <t>24/CDC/5825</t>
  </si>
  <si>
    <t>Pitagampalage Inoka Indika Priyadarshani</t>
  </si>
  <si>
    <t>24/CDC/5826</t>
  </si>
  <si>
    <t>Ketawalage Nilushi Chamika Ketawala</t>
  </si>
  <si>
    <t>955533127V</t>
  </si>
  <si>
    <t>24/CDC/5827</t>
  </si>
  <si>
    <t>Wickramarathna Kankanamage Hashani Kavindya Wickramarathna</t>
  </si>
  <si>
    <t>24/CDC/5828</t>
  </si>
  <si>
    <t>Haduwalage Sunethra Weerasinghe</t>
  </si>
  <si>
    <t>877381323V</t>
  </si>
  <si>
    <t>24/CDC/5829</t>
  </si>
  <si>
    <t>Godella Waththage Madhuka Samanmalie Peeris</t>
  </si>
  <si>
    <t>967070483V</t>
  </si>
  <si>
    <t>24/CDC/5830</t>
  </si>
  <si>
    <t>Rammunige Buddhika Sandamali Samarajeewa</t>
  </si>
  <si>
    <t>867570551V</t>
  </si>
  <si>
    <t>24/CDC/5831</t>
  </si>
  <si>
    <t>Jayawardanage Deepa Kumuduni Jayawardana</t>
  </si>
  <si>
    <t>24/CDC/5832</t>
  </si>
  <si>
    <t>CDOL 03/04</t>
  </si>
  <si>
    <t>Liyanage Don Hansika Ruwani Kanishka</t>
  </si>
  <si>
    <t>24/CDC/5833</t>
  </si>
  <si>
    <t>Kaburugalage Niluka Pushpa Kanthi</t>
  </si>
  <si>
    <t>24/CDC/5834</t>
  </si>
  <si>
    <t>Uduwage Don Navodi Kaushalya Uduwage</t>
  </si>
  <si>
    <t>24/CDC/5835</t>
  </si>
  <si>
    <t>Aluthayalage Anuththara Sewwandi Sarath Kumara</t>
  </si>
  <si>
    <t>955114388V</t>
  </si>
  <si>
    <t>24/CDC/5836</t>
  </si>
  <si>
    <t>CDOL03</t>
  </si>
  <si>
    <t>Dhanushka Erandi Warnasuriya</t>
  </si>
  <si>
    <t>Madawala Gurunnahala Gedara Irosha Madhushani Jayalath</t>
  </si>
  <si>
    <t>Mallawa Arachchige Malika Indranuja Mallawaarachchi</t>
  </si>
  <si>
    <t>Nimesha Sankalani Hewavitharana</t>
  </si>
  <si>
    <t>Kumarapeli Arachchilage Chathurika Lakmali</t>
  </si>
  <si>
    <t>Lokugamage Piumi Nathasha</t>
  </si>
  <si>
    <t>Dehiwaththage Duleeka Madhuwanthi Fernando</t>
  </si>
  <si>
    <t>Galkandage Shynela Niroshani Perera</t>
  </si>
  <si>
    <t>Dellabadage Bisni Gayadi Muthu Lanka</t>
  </si>
  <si>
    <t>Lankara Bopitiyage Darshika Arunodani Ariyadasa</t>
  </si>
  <si>
    <t>Maduravala Gamage Arosha Nimantha Appuhami</t>
  </si>
  <si>
    <t>Mihhidukulasooriya Meriyan Manisha Minoli Fernando</t>
  </si>
  <si>
    <t>Alagiyawanna Mohottalalage Monika Shyamali</t>
  </si>
  <si>
    <t>Samarappuli Mudiyanselage Yashodha Sewmini</t>
  </si>
  <si>
    <t>Liyana Pathirana Arachchilage Hiruni Madushani</t>
  </si>
  <si>
    <t xml:space="preserve">Rajapaksha Koralalage Nishani Udeshika Kaldera </t>
  </si>
  <si>
    <t>Ponnavila Vidanalage Akshini Jayodya</t>
  </si>
  <si>
    <t>Hewa Katuwandeniyage Chamodika Madhushani</t>
  </si>
  <si>
    <t>Madduma Gamage Sujeewa Kumudini</t>
  </si>
  <si>
    <t xml:space="preserve">Chathushi Piyumika Samaranayaka </t>
  </si>
  <si>
    <t>Obadage Pradeepa  Maheshika</t>
  </si>
  <si>
    <t>Nanayakkara Keppitiduwage Surekha Ravishani</t>
  </si>
  <si>
    <t>Akuratiya Gamage Chathuri Priyadarshani</t>
  </si>
  <si>
    <t>Wirakkodi Pathiranalage Nilusha Priyangani</t>
  </si>
  <si>
    <t>Mam Mandige Kumudu Rukmali</t>
  </si>
  <si>
    <t>Dehigaha Waththage Shanika Nimali</t>
  </si>
  <si>
    <t>Herath Mudiyanselage Nirmala Kumari</t>
  </si>
  <si>
    <t>Koruwa Kankanamge Don Makshim Romesh Chanaka</t>
  </si>
  <si>
    <t>Ladduwa Hettige Rohini Indumalee</t>
  </si>
  <si>
    <t>Gammeddegoda Liyanage Chathurangika Darshani</t>
  </si>
  <si>
    <t>Godawaththa Liyanage Ishani Madushanka</t>
  </si>
  <si>
    <t>Mapalagama Manage Dhammika Kumari</t>
  </si>
  <si>
    <t>Pathma Malkanthi Weerathunga</t>
  </si>
  <si>
    <t>Maliduwa Liyanage Mahesha Nayomi Kavishka</t>
  </si>
  <si>
    <t>Mabotuwana Bambarendage Chathurika Madhubhashini</t>
  </si>
  <si>
    <t>Wannaku Guruge Sujeewa Niroshani</t>
  </si>
  <si>
    <t>Samarakoon Anagige Rasika</t>
  </si>
  <si>
    <t>Dabure Liyanage Induni Priyanka</t>
  </si>
  <si>
    <t>Achala Udeshika Hettige</t>
  </si>
  <si>
    <t>Paulage Chethani Manushika Samarasinghe</t>
  </si>
  <si>
    <t>Damayanthi Rupasinghe</t>
  </si>
  <si>
    <t>Dabure Withanachchi Janani Madushani</t>
  </si>
  <si>
    <t>Weihena Liyanage Samanmali Wasana Madumali</t>
  </si>
  <si>
    <t>Ketipe Arachchi Priyanthi Deepika</t>
  </si>
  <si>
    <t>Bope Kodithuwakku Nimmi Nisansala</t>
  </si>
  <si>
    <t>Weddagalage Pamudi Navoda Chandrasena</t>
  </si>
  <si>
    <t>Kulappuwa Wadu Dulki Malshani</t>
  </si>
  <si>
    <t xml:space="preserve">Indrachapa Jayaweera Wickramanayaka </t>
  </si>
  <si>
    <t>Chandima Dias Senaratna</t>
  </si>
  <si>
    <t>Disanayake Mudiyanselage Niluka Udayangani</t>
  </si>
  <si>
    <t>Ranasinghe Malshi</t>
  </si>
  <si>
    <t>Nirupika Savithri Gonsal Korala</t>
  </si>
  <si>
    <t>Malavi Arachchi Gamage Kalpa Darshi</t>
  </si>
  <si>
    <t>Nadeeka Dissanayaka</t>
  </si>
  <si>
    <t>826951877V</t>
  </si>
  <si>
    <t>24/CDC/5435</t>
  </si>
  <si>
    <t>Makewita Appuhamilage Saumya Sewwandi</t>
  </si>
  <si>
    <t>24/CDC/5436</t>
  </si>
  <si>
    <t>Asanka Wishwajith Jayathilaka</t>
  </si>
  <si>
    <t>24/CDC/5437</t>
  </si>
  <si>
    <t>Upali Jayarathnage Shashikala Meedumi Jayarathna</t>
  </si>
  <si>
    <t>24/CDC/5438</t>
  </si>
  <si>
    <t xml:space="preserve">Bogahawaththage Don Wathsala Nilmini Bogahawaththage </t>
  </si>
  <si>
    <t>897350246V</t>
  </si>
  <si>
    <t>24/CDC/5439</t>
  </si>
  <si>
    <t>Akurugoda Jayalathge Niyomi Awanthika</t>
  </si>
  <si>
    <t>988380016V</t>
  </si>
  <si>
    <t>24/CDC/5440</t>
  </si>
  <si>
    <t>Dissanayake Mudiyanselage Nimali Priyadharshani Aththanayake</t>
  </si>
  <si>
    <t>938171726V</t>
  </si>
  <si>
    <t>24/CDC/5441</t>
  </si>
  <si>
    <t>Senavirathna Mudiyanselage Piyumini Chamoda Senavirathna</t>
  </si>
  <si>
    <t>995912457V</t>
  </si>
  <si>
    <t>24/CDC/5442</t>
  </si>
  <si>
    <t>Herath Mudiyanselage Sachini Udeshika Herath</t>
  </si>
  <si>
    <t>24/CDC/5443</t>
  </si>
  <si>
    <t>Kapukotuwe Walawwe Nayani Nadeesha Kapukotuwa</t>
  </si>
  <si>
    <t>956452341V</t>
  </si>
  <si>
    <t>24/CDC/5444</t>
  </si>
  <si>
    <t>Mahindage Hiruni Nimeshika Piyasena</t>
  </si>
  <si>
    <t>24/CDC/5445</t>
  </si>
  <si>
    <t>Wannisekara Mudiyanselage Ranjani Wijesingha</t>
  </si>
  <si>
    <t>835771547V</t>
  </si>
  <si>
    <t>24/CDC/5446</t>
  </si>
  <si>
    <t>Lansakara Jayasundara Mudiyanselage Nishadi Pramila Jayasundara</t>
  </si>
  <si>
    <t>24/CDC/5447</t>
  </si>
  <si>
    <t>Chaminda Yapa Karunarathnage Chalani Chamodani Karunarathna</t>
  </si>
  <si>
    <t>24/CDC/5448</t>
  </si>
  <si>
    <t>Jayasundara Mudiyanselage Prasadika Sanjeewani Gunathilaka</t>
  </si>
  <si>
    <t>905112180V</t>
  </si>
  <si>
    <t>24/CDC/5449</t>
  </si>
  <si>
    <t>Deepa Ranjani Dissanayake</t>
  </si>
  <si>
    <t>758091767V</t>
  </si>
  <si>
    <t>24/CDC/5450</t>
  </si>
  <si>
    <t>Muthu Kudage Kaushalya Sewwandi Rajakaruna</t>
  </si>
  <si>
    <t>24/CDC/5451</t>
  </si>
  <si>
    <t>Semasingha Lularathnage Nimesha Semasingha</t>
  </si>
  <si>
    <t>927051079V</t>
  </si>
  <si>
    <t>24/CDC/5452</t>
  </si>
  <si>
    <t>Subasingha Mudiyanselage Charuni Imalka Kumarasingha</t>
  </si>
  <si>
    <t>955180860V</t>
  </si>
  <si>
    <t>24/CDC/5453</t>
  </si>
  <si>
    <t>Garumuni Sewwandi Saumya De Silva</t>
  </si>
  <si>
    <t>925771678V</t>
  </si>
  <si>
    <t>24/CDC/5454</t>
  </si>
  <si>
    <t>Jayathilakage Indika Kumara Jayathilaka</t>
  </si>
  <si>
    <t>981413490V</t>
  </si>
  <si>
    <t>24/CDC/5455</t>
  </si>
  <si>
    <t>Jayathilakage Kumara Jayathilaka</t>
  </si>
  <si>
    <t>24/CDC/5456</t>
  </si>
  <si>
    <t>Munamalpe Vidana Gamage Ayesha Subodhani Gamage</t>
  </si>
  <si>
    <t>936532624V</t>
  </si>
  <si>
    <t>24/CDC/5457</t>
  </si>
  <si>
    <t>Adhikari Mudiyanselage Nadun Haritha Adikari</t>
  </si>
  <si>
    <t>24/CDC/5458</t>
  </si>
  <si>
    <t xml:space="preserve">Piumal Madhusanka Rathuwaduge </t>
  </si>
  <si>
    <t>952471929V</t>
  </si>
  <si>
    <t>24/CDC/5459</t>
  </si>
  <si>
    <t xml:space="preserve">E Unagolla Wedagedara Jayawardhanalage Nandasenage Iresha Nilmini Kumari </t>
  </si>
  <si>
    <t>905541048V</t>
  </si>
  <si>
    <t>24/CDC/5460</t>
  </si>
  <si>
    <t>Udamidaniye Gedara Roshan Malinda Bandara</t>
  </si>
  <si>
    <t>951340065V</t>
  </si>
  <si>
    <t>24/CDC/5461</t>
  </si>
  <si>
    <t>Wickrama Arachchige Amantha Ruwan Wickramaarachchi</t>
  </si>
  <si>
    <t>24/CDC/5462</t>
  </si>
  <si>
    <t xml:space="preserve">Ranhamilage Swarna Sandamali </t>
  </si>
  <si>
    <t>928473627V</t>
  </si>
  <si>
    <t>24/CDC/5463</t>
  </si>
  <si>
    <t>Herath Mudiyanselage Yamuna Sudarshani Gunadasa</t>
  </si>
  <si>
    <t>926623095 V</t>
  </si>
  <si>
    <t>24/CDC/5464</t>
  </si>
  <si>
    <t>Magage Iresha Priyadarshani</t>
  </si>
  <si>
    <t>887630089 V</t>
  </si>
  <si>
    <t>24/CDC/5465</t>
  </si>
  <si>
    <t>CDOL 06</t>
  </si>
  <si>
    <t>Weerasinghe Dewayalage Hansani Nimeshika</t>
  </si>
  <si>
    <t>24/CDC/5466</t>
  </si>
  <si>
    <t>Manathunga Dewayalage Malki Bagya Prasadi</t>
  </si>
  <si>
    <t>987982020 V</t>
  </si>
  <si>
    <t>24/CDC/5467</t>
  </si>
  <si>
    <t>Rathnayaka Mudiyanselage Kavindi Hansamali Abeyrathna</t>
  </si>
  <si>
    <t>24/CDC/5468</t>
  </si>
  <si>
    <t>Rathnayaka Mudiyanselage Nishadi Thathsarani Ranasinghe</t>
  </si>
  <si>
    <t>927751259 V</t>
  </si>
  <si>
    <t>24/CDC/5469</t>
  </si>
  <si>
    <t>Weerasinghe Mudiyanselage Sujani Peshala Rathnayaka</t>
  </si>
  <si>
    <t>9963060156 V</t>
  </si>
  <si>
    <t>24/CDC/5470</t>
  </si>
  <si>
    <t>Wanigasundara Mudiyanselage Rumesha Ishani Dilrukshi</t>
  </si>
  <si>
    <t>946440086 V</t>
  </si>
  <si>
    <t>24/CDC/5471</t>
  </si>
  <si>
    <t>Arabagoda Lokugamage Bhagya Lochani Karunaratna</t>
  </si>
  <si>
    <t>887962766 V</t>
  </si>
  <si>
    <t>24/CDC/5472</t>
  </si>
  <si>
    <t>Disanayaka Mudiyanselage Madushani Chanika Kumari</t>
  </si>
  <si>
    <t>977801621 V</t>
  </si>
  <si>
    <t>24/CDC/5473</t>
  </si>
  <si>
    <t>Dissanayaka Mudiyanselage Chathurika Dilrukshi Dissanayaka</t>
  </si>
  <si>
    <t>948262053 V</t>
  </si>
  <si>
    <t>24/CDC/5474</t>
  </si>
  <si>
    <t>Jayasinha Mudiyanselage Premawathi Jayasinghe</t>
  </si>
  <si>
    <t>826351454 V</t>
  </si>
  <si>
    <t>24/CDC/5475</t>
  </si>
  <si>
    <t>RanasinghaArachchilage Ujith Lakshan Ranasingha</t>
  </si>
  <si>
    <t>942741120 V</t>
  </si>
  <si>
    <t>24/CDC/5476</t>
  </si>
  <si>
    <t>Weerasekara Bamunu Mudiyanselage Sureni Erandika Weerasekara</t>
  </si>
  <si>
    <t>946201596V</t>
  </si>
  <si>
    <t>24/CDC/5717</t>
  </si>
  <si>
    <t>Jangala Sembukutti Arachchige Dasuni Piumanthi</t>
  </si>
  <si>
    <t>24/CDC/5595</t>
  </si>
  <si>
    <t>Place</t>
  </si>
  <si>
    <t>Certificate Course in Co-operative Development   - Academic Year  2024</t>
  </si>
  <si>
    <t>Co-operative &amp; Business Environment CDOL01</t>
  </si>
  <si>
    <t>Management CDOL02</t>
  </si>
  <si>
    <t>Accounting &amp; Co-operative Accounting Procedures CDOL03</t>
  </si>
  <si>
    <t>Legal Environment &amp; Co- operative Law CDOL04</t>
  </si>
  <si>
    <t>Office Management CDOL05</t>
  </si>
  <si>
    <t>Marketing &amp; Co-operative Marketing CDOL06</t>
  </si>
  <si>
    <t>M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</si>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</sst>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indexed="8"/>
      <name val="DL-Paras.."/>
    </font>
    <font>
      <b/>
      <sz val="12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right" vertical="center" wrapText="1"/>
    </xf>
    <xf numFmtId="1" fontId="9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center"/>
    </xf>
    <xf numFmtId="0" fontId="12" fillId="0" borderId="0" xfId="0" applyFont="1" applyAlignment="1">
      <alignment horizont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1417409</xdr:colOff>
      <xdr:row>0</xdr:row>
      <xdr:rowOff>130227</xdr:rowOff>
    </xdr:from>
    <xdr:to>
      <xdr:col>2</xdr:col>
      <xdr:colOff>2196098</xdr:colOff>
      <xdr:row>3</xdr:row>
      <xdr:rowOff>153308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7588" y="130227"/>
          <a:ext cx="778689" cy="7147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9"/>
  <sheetViews>
    <sheetView tabSelected="1" topLeftCell="B1" zoomScale="76" zoomScaleNormal="100" zoomScaleSheetLayoutView="84" workbookViewId="0">
      <selection activeCell="AE12" sqref="AE12"/>
    </sheetView>
  </sheetViews>
  <sheetFormatPr defaultColWidth="9.109375" defaultRowHeight="15.6"/>
  <cols>
    <col min="1" max="1" width="8.44140625" style="3" hidden="1" customWidth="1"/>
    <col min="2" max="2" width="11.88671875" style="3" customWidth="1"/>
    <col min="3" max="3" width="49" style="4" customWidth="1"/>
    <col min="4" max="4" width="17.21875" style="11" customWidth="1"/>
    <col min="5" max="5" width="14.33203125" style="11" customWidth="1"/>
    <col min="6" max="10" width="5.6640625" style="2" customWidth="1"/>
    <col min="11" max="11" width="6.44140625" style="2" customWidth="1"/>
    <col min="12" max="12" width="5.6640625" style="2" customWidth="1"/>
    <col min="13" max="13" width="5.88671875" style="2" customWidth="1"/>
    <col min="14" max="17" width="5.6640625" style="2" customWidth="1"/>
    <col min="18" max="18" width="9.109375" style="5" customWidth="1"/>
    <col min="19" max="19" width="8" style="5" customWidth="1"/>
    <col min="20" max="20" width="8.109375" style="3" hidden="1" customWidth="1"/>
    <col min="21" max="21" width="15.6640625" style="3" hidden="1" customWidth="1"/>
    <col min="22" max="25" width="9.109375" style="3" hidden="1" customWidth="1"/>
    <col min="26" max="26" width="15" style="3" customWidth="1"/>
    <col min="27" max="27" width="12.33203125" style="11" customWidth="1"/>
    <col min="28" max="16384" width="9.109375" style="3"/>
  </cols>
  <sheetData>
    <row r="1" spans="1:28" ht="18" customHeight="1">
      <c r="A1" s="52" t="s">
        <v>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 spans="1:28" ht="15.6" customHeight="1">
      <c r="A2" s="53" t="s">
        <v>1099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spans="1:28" ht="21.75" customHeight="1">
      <c r="A3" s="53" t="s">
        <v>16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spans="1:28" ht="21.75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 spans="1:28" s="6" customFormat="1" ht="21" customHeight="1">
      <c r="A5" s="54" t="s">
        <v>13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</row>
    <row r="6" spans="1:28" s="6" customFormat="1" ht="69" customHeight="1">
      <c r="A6" s="3"/>
      <c r="B6" s="65" t="s">
        <v>4</v>
      </c>
      <c r="C6" s="63" t="s">
        <v>2</v>
      </c>
      <c r="D6" s="63" t="s">
        <v>3</v>
      </c>
      <c r="E6" s="61" t="s">
        <v>15</v>
      </c>
      <c r="F6" s="59" t="s">
        <v>1100</v>
      </c>
      <c r="G6" s="60"/>
      <c r="H6" s="59" t="s">
        <v>1101</v>
      </c>
      <c r="I6" s="60"/>
      <c r="J6" s="59" t="s">
        <v>1102</v>
      </c>
      <c r="K6" s="60"/>
      <c r="L6" s="59" t="s">
        <v>1103</v>
      </c>
      <c r="M6" s="60"/>
      <c r="N6" s="59" t="s">
        <v>1104</v>
      </c>
      <c r="O6" s="60"/>
      <c r="P6" s="59" t="s">
        <v>1105</v>
      </c>
      <c r="Q6" s="60"/>
      <c r="R6" s="57" t="s">
        <v>0</v>
      </c>
      <c r="S6" s="57" t="s">
        <v>1</v>
      </c>
      <c r="T6" s="55"/>
      <c r="U6" s="55"/>
      <c r="V6" s="29"/>
      <c r="W6" s="29"/>
      <c r="X6" s="29"/>
      <c r="Y6" s="29"/>
      <c r="Z6" s="61" t="s">
        <v>12</v>
      </c>
      <c r="AA6" s="61" t="s">
        <v>11</v>
      </c>
      <c r="AB6" s="50" t="s">
        <v>1098</v>
      </c>
    </row>
    <row r="7" spans="1:28" s="7" customFormat="1" ht="20.25" customHeight="1">
      <c r="B7" s="66"/>
      <c r="C7" s="64"/>
      <c r="D7" s="64"/>
      <c r="E7" s="62"/>
      <c r="F7" s="49" t="s">
        <v>1106</v>
      </c>
      <c r="G7" s="68" t="s">
        <v>1107</v>
      </c>
      <c r="H7" s="49" t="s">
        <v>1106</v>
      </c>
      <c r="I7" s="68" t="s">
        <v>1107</v>
      </c>
      <c r="J7" s="49" t="s">
        <v>1106</v>
      </c>
      <c r="K7" s="68" t="s">
        <v>1107</v>
      </c>
      <c r="L7" s="49" t="s">
        <v>1106</v>
      </c>
      <c r="M7" s="68" t="s">
        <v>1107</v>
      </c>
      <c r="N7" s="67" t="s">
        <v>1106</v>
      </c>
      <c r="O7" s="68" t="s">
        <v>1107</v>
      </c>
      <c r="P7" s="49" t="s">
        <v>1106</v>
      </c>
      <c r="Q7" s="68" t="s">
        <v>1107</v>
      </c>
      <c r="R7" s="58"/>
      <c r="S7" s="58"/>
      <c r="T7" s="56"/>
      <c r="U7" s="56"/>
      <c r="V7" s="30"/>
      <c r="W7" s="30"/>
      <c r="X7" s="30"/>
      <c r="Y7" s="30"/>
      <c r="Z7" s="62"/>
      <c r="AA7" s="62"/>
      <c r="AB7" s="51"/>
    </row>
    <row r="8" spans="1:28" ht="31.5" customHeight="1">
      <c r="B8" s="8">
        <v>1</v>
      </c>
      <c r="C8" s="16" t="s">
        <v>979</v>
      </c>
      <c r="D8" s="17" t="s">
        <v>980</v>
      </c>
      <c r="E8" s="15" t="s">
        <v>981</v>
      </c>
      <c r="F8" s="1">
        <v>58</v>
      </c>
      <c r="G8" s="12" t="str">
        <f>IF(F8="-", "AB", IF(F8&gt;=75, "D", IF(F8&gt;=55, "C", IF(F8&gt;=35, "S", IF(F8&gt;=0, "F")))))</f>
        <v>C</v>
      </c>
      <c r="H8" s="12">
        <v>59</v>
      </c>
      <c r="I8" s="12" t="str">
        <f t="shared" ref="I8:I27" si="0">IF(H8="-", "AB", IF(H8&gt;=75, "D", IF(H8&gt;=55, "C", IF(H8&gt;=35, "S", IF(H8&gt;=0, "F")))))</f>
        <v>C</v>
      </c>
      <c r="J8" s="12">
        <v>47</v>
      </c>
      <c r="K8" s="12" t="str">
        <f t="shared" ref="K8:K27" si="1">IF(J8="-", "AB", IF(J8&gt;=75, "D", IF(J8&gt;=55, "C", IF(J8&gt;=35, "S", IF(J8&gt;=0, "F")))))</f>
        <v>S</v>
      </c>
      <c r="L8" s="12">
        <v>74</v>
      </c>
      <c r="M8" s="12" t="str">
        <f t="shared" ref="M8:M27" si="2">IF(L8="-", "AB", IF(L8&gt;=75, "D", IF(L8&gt;=55, "C", IF(L8&gt;=35, "S", IF(L8&gt;=0, "F")))))</f>
        <v>C</v>
      </c>
      <c r="N8" s="12">
        <v>72</v>
      </c>
      <c r="O8" s="12" t="str">
        <f t="shared" ref="O8:O27" si="3">IF(N8="-", "AB", IF(N8&gt;=75, "D", IF(N8&gt;=55, "C", IF(N8&gt;=35, "S", IF(N8&gt;=0, "F")))))</f>
        <v>C</v>
      </c>
      <c r="P8" s="12">
        <v>53</v>
      </c>
      <c r="Q8" s="12" t="str">
        <f t="shared" ref="Q8:Q27" si="4">IF(P8="-", "AB", IF(P8&gt;=75, "D", IF(P8&gt;=55, "C", IF(P8&gt;=35, "S", IF(P8&gt;=0, "F")))))</f>
        <v>S</v>
      </c>
      <c r="R8" s="12">
        <f>SUM(F8+H8+J8+L8+N8+P8)</f>
        <v>363</v>
      </c>
      <c r="S8" s="12" t="str">
        <f>ROUND(R8/6, 0)&amp;"%"</f>
        <v>61%</v>
      </c>
      <c r="T8" s="12">
        <f t="shared" ref="T8:T27" si="5">COUNTIF(F8:Q8, "D")</f>
        <v>0</v>
      </c>
      <c r="U8" s="12">
        <f t="shared" ref="U8:U27" si="6">COUNTIF(G8:T8, "C")</f>
        <v>4</v>
      </c>
      <c r="V8" s="12">
        <f t="shared" ref="V8:V27" si="7">COUNTIF(H8:U8, "S")</f>
        <v>2</v>
      </c>
      <c r="W8" s="12">
        <f t="shared" ref="W8:W27" si="8">COUNTIF(I8:V8, "F")</f>
        <v>0</v>
      </c>
      <c r="X8" s="12">
        <f t="shared" ref="X8:X27" si="9">COUNTIF(F8:W8, "-")</f>
        <v>0</v>
      </c>
      <c r="Y8" s="19"/>
      <c r="Z8" s="15" t="str">
        <f>IF(X8&gt;0, "Not Completed",
   IF(T8=10, "First Class",
      IF(S8&gt;75, IF(V8&gt;0, "Ordinary Pass", "First Class"),
         IF(S8&gt;65, IF(V8&gt;0, "Ordinary Pass", "Second Class"), "none")
      )
   )
)</f>
        <v>Ordinary Pass</v>
      </c>
      <c r="AA8" s="12"/>
      <c r="AB8" s="47"/>
    </row>
    <row r="9" spans="1:28" ht="31.5" customHeight="1">
      <c r="B9" s="9">
        <v>2</v>
      </c>
      <c r="C9" s="16" t="s">
        <v>982</v>
      </c>
      <c r="D9" s="18">
        <v>198661100662</v>
      </c>
      <c r="E9" s="15" t="s">
        <v>983</v>
      </c>
      <c r="F9" s="1">
        <v>80</v>
      </c>
      <c r="G9" s="12" t="str">
        <f t="shared" ref="G9:G27" si="10">IF(F9="-", "AB", IF(F9&gt;=75, "D", IF(F9&gt;=55, "C", IF(F9&gt;=35, "S", IF(F9&gt;=0, "F")))))</f>
        <v>D</v>
      </c>
      <c r="H9" s="12">
        <v>73</v>
      </c>
      <c r="I9" s="12" t="str">
        <f t="shared" si="0"/>
        <v>C</v>
      </c>
      <c r="J9" s="12">
        <v>60</v>
      </c>
      <c r="K9" s="12" t="str">
        <f t="shared" si="1"/>
        <v>C</v>
      </c>
      <c r="L9" s="12">
        <v>58</v>
      </c>
      <c r="M9" s="12" t="str">
        <f t="shared" si="2"/>
        <v>C</v>
      </c>
      <c r="N9" s="12">
        <v>63</v>
      </c>
      <c r="O9" s="12" t="str">
        <f t="shared" si="3"/>
        <v>C</v>
      </c>
      <c r="P9" s="12">
        <v>44</v>
      </c>
      <c r="Q9" s="12" t="str">
        <f t="shared" si="4"/>
        <v>S</v>
      </c>
      <c r="R9" s="12">
        <f t="shared" ref="R9:R27" si="11">SUM(F9+H9+J9+L9+N9+P9)</f>
        <v>378</v>
      </c>
      <c r="S9" s="12" t="str">
        <f t="shared" ref="S9:S27" si="12">ROUND(R9/6, 0)&amp;"%"</f>
        <v>63%</v>
      </c>
      <c r="T9" s="12">
        <f t="shared" si="5"/>
        <v>1</v>
      </c>
      <c r="U9" s="12">
        <f t="shared" si="6"/>
        <v>4</v>
      </c>
      <c r="V9" s="12">
        <f t="shared" si="7"/>
        <v>1</v>
      </c>
      <c r="W9" s="12">
        <f t="shared" si="8"/>
        <v>0</v>
      </c>
      <c r="X9" s="12">
        <f t="shared" si="9"/>
        <v>0</v>
      </c>
      <c r="Y9" s="19"/>
      <c r="Z9" s="15" t="str">
        <f t="shared" ref="Z9:Z27" si="13">IF(X9&gt;0, "Not Completed",
   IF(T9=10, "First Class",
      IF(S9&gt;75, IF(V9&gt;0, "Ordinary Pass", "First Class"),
         IF(S9&gt;65, IF(V9&gt;0, "Ordinary Pass", "Second Class"), "none")
      )
   )
)</f>
        <v>Ordinary Pass</v>
      </c>
      <c r="AA9" s="12"/>
      <c r="AB9" s="47"/>
    </row>
    <row r="10" spans="1:28" ht="27" customHeight="1">
      <c r="B10" s="9">
        <v>3</v>
      </c>
      <c r="C10" s="16" t="s">
        <v>984</v>
      </c>
      <c r="D10" s="18">
        <v>198214303762</v>
      </c>
      <c r="E10" s="15" t="s">
        <v>985</v>
      </c>
      <c r="F10" s="1">
        <v>48</v>
      </c>
      <c r="G10" s="12" t="str">
        <f t="shared" si="10"/>
        <v>S</v>
      </c>
      <c r="H10" s="12">
        <v>73</v>
      </c>
      <c r="I10" s="12" t="str">
        <f t="shared" si="0"/>
        <v>C</v>
      </c>
      <c r="J10" s="12">
        <v>68</v>
      </c>
      <c r="K10" s="12" t="str">
        <f t="shared" si="1"/>
        <v>C</v>
      </c>
      <c r="L10" s="12">
        <v>54</v>
      </c>
      <c r="M10" s="12" t="str">
        <f t="shared" si="2"/>
        <v>S</v>
      </c>
      <c r="N10" s="12">
        <v>63</v>
      </c>
      <c r="O10" s="12" t="str">
        <f t="shared" si="3"/>
        <v>C</v>
      </c>
      <c r="P10" s="12">
        <v>55</v>
      </c>
      <c r="Q10" s="12" t="str">
        <f t="shared" si="4"/>
        <v>C</v>
      </c>
      <c r="R10" s="12">
        <f t="shared" si="11"/>
        <v>361</v>
      </c>
      <c r="S10" s="12" t="str">
        <f t="shared" si="12"/>
        <v>60%</v>
      </c>
      <c r="T10" s="12">
        <f t="shared" si="5"/>
        <v>0</v>
      </c>
      <c r="U10" s="12">
        <f t="shared" si="6"/>
        <v>4</v>
      </c>
      <c r="V10" s="12">
        <f t="shared" si="7"/>
        <v>1</v>
      </c>
      <c r="W10" s="12">
        <f t="shared" si="8"/>
        <v>0</v>
      </c>
      <c r="X10" s="12">
        <f t="shared" si="9"/>
        <v>0</v>
      </c>
      <c r="Y10" s="19"/>
      <c r="Z10" s="15" t="str">
        <f t="shared" si="13"/>
        <v>Ordinary Pass</v>
      </c>
      <c r="AA10" s="12"/>
      <c r="AB10" s="47"/>
    </row>
    <row r="11" spans="1:28" ht="27" customHeight="1">
      <c r="B11" s="9">
        <v>4</v>
      </c>
      <c r="C11" s="16" t="s">
        <v>986</v>
      </c>
      <c r="D11" s="18">
        <v>199962101401</v>
      </c>
      <c r="E11" s="15" t="s">
        <v>987</v>
      </c>
      <c r="F11" s="1">
        <v>45</v>
      </c>
      <c r="G11" s="12" t="str">
        <f t="shared" si="10"/>
        <v>S</v>
      </c>
      <c r="H11" s="12">
        <v>64</v>
      </c>
      <c r="I11" s="12" t="str">
        <f t="shared" si="0"/>
        <v>C</v>
      </c>
      <c r="J11" s="12">
        <v>92</v>
      </c>
      <c r="K11" s="12" t="str">
        <f t="shared" si="1"/>
        <v>D</v>
      </c>
      <c r="L11" s="12">
        <v>57</v>
      </c>
      <c r="M11" s="12" t="str">
        <f t="shared" si="2"/>
        <v>C</v>
      </c>
      <c r="N11" s="12">
        <v>57</v>
      </c>
      <c r="O11" s="12" t="str">
        <f t="shared" si="3"/>
        <v>C</v>
      </c>
      <c r="P11" s="12">
        <v>46</v>
      </c>
      <c r="Q11" s="12" t="str">
        <f t="shared" si="4"/>
        <v>S</v>
      </c>
      <c r="R11" s="12">
        <f t="shared" si="11"/>
        <v>361</v>
      </c>
      <c r="S11" s="12" t="str">
        <f t="shared" si="12"/>
        <v>60%</v>
      </c>
      <c r="T11" s="12">
        <f t="shared" si="5"/>
        <v>1</v>
      </c>
      <c r="U11" s="12">
        <f t="shared" si="6"/>
        <v>3</v>
      </c>
      <c r="V11" s="12">
        <f t="shared" si="7"/>
        <v>1</v>
      </c>
      <c r="W11" s="12">
        <f t="shared" si="8"/>
        <v>0</v>
      </c>
      <c r="X11" s="12">
        <f t="shared" si="9"/>
        <v>0</v>
      </c>
      <c r="Y11" s="19"/>
      <c r="Z11" s="15" t="str">
        <f t="shared" si="13"/>
        <v>Ordinary Pass</v>
      </c>
      <c r="AA11" s="12"/>
      <c r="AB11" s="47"/>
    </row>
    <row r="12" spans="1:28" ht="27" customHeight="1">
      <c r="B12" s="9">
        <v>5</v>
      </c>
      <c r="C12" s="16" t="s">
        <v>988</v>
      </c>
      <c r="D12" s="18" t="s">
        <v>989</v>
      </c>
      <c r="E12" s="15" t="s">
        <v>990</v>
      </c>
      <c r="F12" s="1">
        <v>63</v>
      </c>
      <c r="G12" s="12" t="str">
        <f t="shared" si="10"/>
        <v>C</v>
      </c>
      <c r="H12" s="12">
        <v>77</v>
      </c>
      <c r="I12" s="12" t="str">
        <f t="shared" si="0"/>
        <v>D</v>
      </c>
      <c r="J12" s="12">
        <v>74</v>
      </c>
      <c r="K12" s="12" t="str">
        <f t="shared" si="1"/>
        <v>C</v>
      </c>
      <c r="L12" s="12">
        <v>59</v>
      </c>
      <c r="M12" s="12" t="str">
        <f t="shared" si="2"/>
        <v>C</v>
      </c>
      <c r="N12" s="12">
        <v>78</v>
      </c>
      <c r="O12" s="12" t="str">
        <f t="shared" si="3"/>
        <v>D</v>
      </c>
      <c r="P12" s="12">
        <v>47</v>
      </c>
      <c r="Q12" s="12" t="str">
        <f t="shared" si="4"/>
        <v>S</v>
      </c>
      <c r="R12" s="12">
        <f t="shared" si="11"/>
        <v>398</v>
      </c>
      <c r="S12" s="12" t="str">
        <f t="shared" si="12"/>
        <v>66%</v>
      </c>
      <c r="T12" s="12">
        <f t="shared" si="5"/>
        <v>2</v>
      </c>
      <c r="U12" s="12">
        <f t="shared" si="6"/>
        <v>3</v>
      </c>
      <c r="V12" s="12">
        <f t="shared" si="7"/>
        <v>1</v>
      </c>
      <c r="W12" s="12">
        <f t="shared" si="8"/>
        <v>0</v>
      </c>
      <c r="X12" s="12">
        <f t="shared" si="9"/>
        <v>0</v>
      </c>
      <c r="Y12" s="19"/>
      <c r="Z12" s="15" t="str">
        <f t="shared" si="13"/>
        <v>Ordinary Pass</v>
      </c>
      <c r="AA12" s="12"/>
      <c r="AB12" s="47"/>
    </row>
    <row r="13" spans="1:28" ht="27" customHeight="1">
      <c r="B13" s="9">
        <v>6</v>
      </c>
      <c r="C13" s="16" t="s">
        <v>991</v>
      </c>
      <c r="D13" s="18" t="s">
        <v>992</v>
      </c>
      <c r="E13" s="15" t="s">
        <v>993</v>
      </c>
      <c r="F13" s="1">
        <v>85</v>
      </c>
      <c r="G13" s="12" t="str">
        <f t="shared" si="10"/>
        <v>D</v>
      </c>
      <c r="H13" s="12">
        <v>76</v>
      </c>
      <c r="I13" s="12" t="str">
        <f t="shared" si="0"/>
        <v>D</v>
      </c>
      <c r="J13" s="12">
        <v>76</v>
      </c>
      <c r="K13" s="12" t="str">
        <f t="shared" si="1"/>
        <v>D</v>
      </c>
      <c r="L13" s="12">
        <v>70</v>
      </c>
      <c r="M13" s="12" t="str">
        <f t="shared" si="2"/>
        <v>C</v>
      </c>
      <c r="N13" s="12">
        <v>76</v>
      </c>
      <c r="O13" s="12" t="str">
        <f t="shared" si="3"/>
        <v>D</v>
      </c>
      <c r="P13" s="12">
        <v>48</v>
      </c>
      <c r="Q13" s="12" t="str">
        <f t="shared" si="4"/>
        <v>S</v>
      </c>
      <c r="R13" s="12">
        <f t="shared" si="11"/>
        <v>431</v>
      </c>
      <c r="S13" s="12" t="str">
        <f t="shared" si="12"/>
        <v>72%</v>
      </c>
      <c r="T13" s="12">
        <f t="shared" si="5"/>
        <v>4</v>
      </c>
      <c r="U13" s="12">
        <f t="shared" si="6"/>
        <v>1</v>
      </c>
      <c r="V13" s="12">
        <f t="shared" si="7"/>
        <v>1</v>
      </c>
      <c r="W13" s="12">
        <f t="shared" si="8"/>
        <v>0</v>
      </c>
      <c r="X13" s="12">
        <f t="shared" si="9"/>
        <v>0</v>
      </c>
      <c r="Y13" s="19"/>
      <c r="Z13" s="15" t="str">
        <f t="shared" si="13"/>
        <v>Ordinary Pass</v>
      </c>
      <c r="AA13" s="12"/>
      <c r="AB13" s="47"/>
    </row>
    <row r="14" spans="1:28" ht="27" customHeight="1">
      <c r="B14" s="9">
        <v>7</v>
      </c>
      <c r="C14" s="16" t="s">
        <v>994</v>
      </c>
      <c r="D14" s="18" t="s">
        <v>995</v>
      </c>
      <c r="E14" s="15" t="s">
        <v>996</v>
      </c>
      <c r="F14" s="1">
        <v>61</v>
      </c>
      <c r="G14" s="12" t="str">
        <f t="shared" si="10"/>
        <v>C</v>
      </c>
      <c r="H14" s="12">
        <v>56</v>
      </c>
      <c r="I14" s="12" t="str">
        <f t="shared" si="0"/>
        <v>C</v>
      </c>
      <c r="J14" s="12">
        <v>36</v>
      </c>
      <c r="K14" s="12" t="str">
        <f t="shared" si="1"/>
        <v>S</v>
      </c>
      <c r="L14" s="12">
        <v>54</v>
      </c>
      <c r="M14" s="12" t="str">
        <f t="shared" si="2"/>
        <v>S</v>
      </c>
      <c r="N14" s="12">
        <v>71</v>
      </c>
      <c r="O14" s="12" t="str">
        <f t="shared" si="3"/>
        <v>C</v>
      </c>
      <c r="P14" s="12">
        <v>43</v>
      </c>
      <c r="Q14" s="12" t="str">
        <f t="shared" si="4"/>
        <v>S</v>
      </c>
      <c r="R14" s="12">
        <f t="shared" si="11"/>
        <v>321</v>
      </c>
      <c r="S14" s="12" t="str">
        <f t="shared" si="12"/>
        <v>54%</v>
      </c>
      <c r="T14" s="12">
        <f t="shared" si="5"/>
        <v>0</v>
      </c>
      <c r="U14" s="12">
        <f t="shared" si="6"/>
        <v>3</v>
      </c>
      <c r="V14" s="12">
        <f t="shared" si="7"/>
        <v>3</v>
      </c>
      <c r="W14" s="12">
        <f t="shared" si="8"/>
        <v>0</v>
      </c>
      <c r="X14" s="12">
        <f t="shared" si="9"/>
        <v>0</v>
      </c>
      <c r="Y14" s="19"/>
      <c r="Z14" s="15" t="str">
        <f t="shared" si="13"/>
        <v>Ordinary Pass</v>
      </c>
      <c r="AA14" s="12"/>
      <c r="AB14" s="47"/>
    </row>
    <row r="15" spans="1:28" ht="27" customHeight="1">
      <c r="B15" s="9">
        <v>8</v>
      </c>
      <c r="C15" s="16" t="s">
        <v>997</v>
      </c>
      <c r="D15" s="18" t="s">
        <v>998</v>
      </c>
      <c r="E15" s="15" t="s">
        <v>999</v>
      </c>
      <c r="F15" s="1">
        <v>76</v>
      </c>
      <c r="G15" s="12" t="str">
        <f t="shared" si="10"/>
        <v>D</v>
      </c>
      <c r="H15" s="12">
        <v>72</v>
      </c>
      <c r="I15" s="12" t="str">
        <f t="shared" si="0"/>
        <v>C</v>
      </c>
      <c r="J15" s="12">
        <v>81</v>
      </c>
      <c r="K15" s="12" t="str">
        <f t="shared" si="1"/>
        <v>D</v>
      </c>
      <c r="L15" s="12">
        <v>69</v>
      </c>
      <c r="M15" s="12" t="str">
        <f t="shared" si="2"/>
        <v>C</v>
      </c>
      <c r="N15" s="12">
        <v>62</v>
      </c>
      <c r="O15" s="12" t="str">
        <f t="shared" si="3"/>
        <v>C</v>
      </c>
      <c r="P15" s="12">
        <v>57</v>
      </c>
      <c r="Q15" s="12" t="str">
        <f t="shared" si="4"/>
        <v>C</v>
      </c>
      <c r="R15" s="12">
        <f t="shared" si="11"/>
        <v>417</v>
      </c>
      <c r="S15" s="12" t="str">
        <f t="shared" si="12"/>
        <v>70%</v>
      </c>
      <c r="T15" s="12">
        <f t="shared" si="5"/>
        <v>2</v>
      </c>
      <c r="U15" s="12">
        <f t="shared" si="6"/>
        <v>4</v>
      </c>
      <c r="V15" s="12">
        <f t="shared" si="7"/>
        <v>0</v>
      </c>
      <c r="W15" s="12">
        <f t="shared" si="8"/>
        <v>0</v>
      </c>
      <c r="X15" s="12">
        <f t="shared" si="9"/>
        <v>0</v>
      </c>
      <c r="Y15" s="19"/>
      <c r="Z15" s="20" t="s">
        <v>10</v>
      </c>
      <c r="AA15" s="12"/>
      <c r="AB15" s="47"/>
    </row>
    <row r="16" spans="1:28" ht="27" customHeight="1">
      <c r="B16" s="9">
        <v>9</v>
      </c>
      <c r="C16" s="16" t="s">
        <v>1000</v>
      </c>
      <c r="D16" s="18">
        <v>200057602788</v>
      </c>
      <c r="E16" s="15" t="s">
        <v>1001</v>
      </c>
      <c r="F16" s="1">
        <v>53</v>
      </c>
      <c r="G16" s="12" t="str">
        <f t="shared" si="10"/>
        <v>S</v>
      </c>
      <c r="H16" s="12">
        <v>56</v>
      </c>
      <c r="I16" s="12" t="str">
        <f t="shared" si="0"/>
        <v>C</v>
      </c>
      <c r="J16" s="12">
        <v>23</v>
      </c>
      <c r="K16" s="12" t="str">
        <f t="shared" si="1"/>
        <v>F</v>
      </c>
      <c r="L16" s="12">
        <v>46</v>
      </c>
      <c r="M16" s="12" t="str">
        <f t="shared" si="2"/>
        <v>S</v>
      </c>
      <c r="N16" s="12">
        <v>51</v>
      </c>
      <c r="O16" s="12" t="str">
        <f t="shared" si="3"/>
        <v>S</v>
      </c>
      <c r="P16" s="12">
        <v>42</v>
      </c>
      <c r="Q16" s="12" t="str">
        <f t="shared" si="4"/>
        <v>S</v>
      </c>
      <c r="R16" s="12">
        <f t="shared" si="11"/>
        <v>271</v>
      </c>
      <c r="S16" s="12" t="str">
        <f t="shared" si="12"/>
        <v>45%</v>
      </c>
      <c r="T16" s="12">
        <f t="shared" si="5"/>
        <v>0</v>
      </c>
      <c r="U16" s="12">
        <f t="shared" si="6"/>
        <v>1</v>
      </c>
      <c r="V16" s="12">
        <f t="shared" si="7"/>
        <v>3</v>
      </c>
      <c r="W16" s="12">
        <f t="shared" si="8"/>
        <v>1</v>
      </c>
      <c r="X16" s="12">
        <f t="shared" si="9"/>
        <v>0</v>
      </c>
      <c r="Y16" s="19"/>
      <c r="Z16" s="15" t="s">
        <v>6</v>
      </c>
      <c r="AA16" s="12" t="s">
        <v>84</v>
      </c>
      <c r="AB16" s="47"/>
    </row>
    <row r="17" spans="2:28" ht="27" customHeight="1">
      <c r="B17" s="9">
        <v>10</v>
      </c>
      <c r="C17" s="16" t="s">
        <v>1002</v>
      </c>
      <c r="D17" s="18" t="s">
        <v>1003</v>
      </c>
      <c r="E17" s="15" t="s">
        <v>1004</v>
      </c>
      <c r="F17" s="1">
        <v>59</v>
      </c>
      <c r="G17" s="12" t="str">
        <f t="shared" si="10"/>
        <v>C</v>
      </c>
      <c r="H17" s="12">
        <v>56</v>
      </c>
      <c r="I17" s="12" t="str">
        <f t="shared" si="0"/>
        <v>C</v>
      </c>
      <c r="J17" s="12">
        <v>49</v>
      </c>
      <c r="K17" s="12" t="str">
        <f t="shared" si="1"/>
        <v>S</v>
      </c>
      <c r="L17" s="12">
        <v>56</v>
      </c>
      <c r="M17" s="12" t="str">
        <f t="shared" si="2"/>
        <v>C</v>
      </c>
      <c r="N17" s="12">
        <v>57</v>
      </c>
      <c r="O17" s="12" t="str">
        <f t="shared" si="3"/>
        <v>C</v>
      </c>
      <c r="P17" s="12">
        <v>53</v>
      </c>
      <c r="Q17" s="12" t="str">
        <f t="shared" si="4"/>
        <v>S</v>
      </c>
      <c r="R17" s="12">
        <f t="shared" si="11"/>
        <v>330</v>
      </c>
      <c r="S17" s="12" t="str">
        <f t="shared" si="12"/>
        <v>55%</v>
      </c>
      <c r="T17" s="12">
        <f t="shared" si="5"/>
        <v>0</v>
      </c>
      <c r="U17" s="12">
        <f t="shared" si="6"/>
        <v>4</v>
      </c>
      <c r="V17" s="12">
        <f t="shared" si="7"/>
        <v>2</v>
      </c>
      <c r="W17" s="12">
        <f t="shared" si="8"/>
        <v>0</v>
      </c>
      <c r="X17" s="12">
        <f t="shared" si="9"/>
        <v>0</v>
      </c>
      <c r="Y17" s="19"/>
      <c r="Z17" s="15" t="str">
        <f t="shared" si="13"/>
        <v>Ordinary Pass</v>
      </c>
      <c r="AA17" s="12"/>
      <c r="AB17" s="47"/>
    </row>
    <row r="18" spans="2:28" ht="27" customHeight="1">
      <c r="B18" s="9">
        <v>11</v>
      </c>
      <c r="C18" s="16" t="s">
        <v>1005</v>
      </c>
      <c r="D18" s="18">
        <v>200158600478</v>
      </c>
      <c r="E18" s="15" t="s">
        <v>1006</v>
      </c>
      <c r="F18" s="1">
        <v>62</v>
      </c>
      <c r="G18" s="12" t="str">
        <f t="shared" si="10"/>
        <v>C</v>
      </c>
      <c r="H18" s="12">
        <v>66</v>
      </c>
      <c r="I18" s="12" t="str">
        <f t="shared" si="0"/>
        <v>C</v>
      </c>
      <c r="J18" s="12">
        <v>76</v>
      </c>
      <c r="K18" s="12" t="str">
        <f t="shared" si="1"/>
        <v>D</v>
      </c>
      <c r="L18" s="12">
        <v>55</v>
      </c>
      <c r="M18" s="12" t="str">
        <f t="shared" si="2"/>
        <v>C</v>
      </c>
      <c r="N18" s="12">
        <v>76</v>
      </c>
      <c r="O18" s="12" t="str">
        <f t="shared" si="3"/>
        <v>D</v>
      </c>
      <c r="P18" s="12">
        <v>55</v>
      </c>
      <c r="Q18" s="12" t="str">
        <f t="shared" si="4"/>
        <v>C</v>
      </c>
      <c r="R18" s="12">
        <f t="shared" si="11"/>
        <v>390</v>
      </c>
      <c r="S18" s="12" t="str">
        <f t="shared" si="12"/>
        <v>65%</v>
      </c>
      <c r="T18" s="12">
        <f t="shared" si="5"/>
        <v>2</v>
      </c>
      <c r="U18" s="12">
        <f t="shared" si="6"/>
        <v>4</v>
      </c>
      <c r="V18" s="12">
        <f t="shared" si="7"/>
        <v>0</v>
      </c>
      <c r="W18" s="12">
        <f t="shared" si="8"/>
        <v>0</v>
      </c>
      <c r="X18" s="12">
        <f t="shared" si="9"/>
        <v>0</v>
      </c>
      <c r="Y18" s="19"/>
      <c r="Z18" s="15" t="s">
        <v>10</v>
      </c>
      <c r="AA18" s="12"/>
      <c r="AB18" s="47"/>
    </row>
    <row r="19" spans="2:28" ht="27" customHeight="1">
      <c r="B19" s="9">
        <v>12</v>
      </c>
      <c r="C19" s="16" t="s">
        <v>1007</v>
      </c>
      <c r="D19" s="18" t="s">
        <v>1008</v>
      </c>
      <c r="E19" s="15" t="s">
        <v>1009</v>
      </c>
      <c r="F19" s="1">
        <v>66</v>
      </c>
      <c r="G19" s="12" t="str">
        <f t="shared" si="10"/>
        <v>C</v>
      </c>
      <c r="H19" s="12">
        <v>70</v>
      </c>
      <c r="I19" s="12" t="str">
        <f t="shared" si="0"/>
        <v>C</v>
      </c>
      <c r="J19" s="12">
        <v>74</v>
      </c>
      <c r="K19" s="12" t="str">
        <f t="shared" si="1"/>
        <v>C</v>
      </c>
      <c r="L19" s="12">
        <v>55</v>
      </c>
      <c r="M19" s="12" t="str">
        <f t="shared" si="2"/>
        <v>C</v>
      </c>
      <c r="N19" s="12">
        <v>74</v>
      </c>
      <c r="O19" s="12" t="str">
        <f t="shared" si="3"/>
        <v>C</v>
      </c>
      <c r="P19" s="12">
        <v>50</v>
      </c>
      <c r="Q19" s="12" t="str">
        <f t="shared" si="4"/>
        <v>S</v>
      </c>
      <c r="R19" s="12">
        <f t="shared" si="11"/>
        <v>389</v>
      </c>
      <c r="S19" s="12" t="str">
        <f t="shared" si="12"/>
        <v>65%</v>
      </c>
      <c r="T19" s="12">
        <f t="shared" si="5"/>
        <v>0</v>
      </c>
      <c r="U19" s="12">
        <f t="shared" si="6"/>
        <v>5</v>
      </c>
      <c r="V19" s="12">
        <f t="shared" si="7"/>
        <v>1</v>
      </c>
      <c r="W19" s="12">
        <f t="shared" si="8"/>
        <v>0</v>
      </c>
      <c r="X19" s="12">
        <f t="shared" si="9"/>
        <v>0</v>
      </c>
      <c r="Y19" s="19"/>
      <c r="Z19" s="15" t="str">
        <f t="shared" si="13"/>
        <v>Ordinary Pass</v>
      </c>
      <c r="AA19" s="12"/>
      <c r="AB19" s="47"/>
    </row>
    <row r="20" spans="2:28" ht="27" customHeight="1">
      <c r="B20" s="9">
        <v>13</v>
      </c>
      <c r="C20" s="16" t="s">
        <v>1010</v>
      </c>
      <c r="D20" s="18">
        <v>200162900250</v>
      </c>
      <c r="E20" s="15" t="s">
        <v>1011</v>
      </c>
      <c r="F20" s="1" t="s">
        <v>14</v>
      </c>
      <c r="G20" s="12" t="str">
        <f t="shared" si="10"/>
        <v>AB</v>
      </c>
      <c r="H20" s="12" t="s">
        <v>14</v>
      </c>
      <c r="I20" s="12" t="str">
        <f t="shared" si="0"/>
        <v>AB</v>
      </c>
      <c r="J20" s="12" t="s">
        <v>14</v>
      </c>
      <c r="K20" s="12" t="str">
        <f t="shared" si="1"/>
        <v>AB</v>
      </c>
      <c r="L20" s="12" t="s">
        <v>14</v>
      </c>
      <c r="M20" s="12" t="str">
        <f t="shared" si="2"/>
        <v>AB</v>
      </c>
      <c r="N20" s="12" t="s">
        <v>14</v>
      </c>
      <c r="O20" s="12" t="str">
        <f t="shared" si="3"/>
        <v>AB</v>
      </c>
      <c r="P20" s="12" t="s">
        <v>14</v>
      </c>
      <c r="Q20" s="12" t="str">
        <f t="shared" si="4"/>
        <v>AB</v>
      </c>
      <c r="R20" s="12">
        <v>0</v>
      </c>
      <c r="S20" s="12" t="str">
        <f t="shared" si="12"/>
        <v>0%</v>
      </c>
      <c r="T20" s="12">
        <f t="shared" si="5"/>
        <v>0</v>
      </c>
      <c r="U20" s="12">
        <f t="shared" si="6"/>
        <v>0</v>
      </c>
      <c r="V20" s="12">
        <f t="shared" si="7"/>
        <v>0</v>
      </c>
      <c r="W20" s="12">
        <f t="shared" si="8"/>
        <v>0</v>
      </c>
      <c r="X20" s="12">
        <f t="shared" si="9"/>
        <v>6</v>
      </c>
      <c r="Y20" s="19"/>
      <c r="Z20" s="15" t="s">
        <v>7</v>
      </c>
      <c r="AA20" s="12"/>
      <c r="AB20" s="47"/>
    </row>
    <row r="21" spans="2:28" ht="27" customHeight="1">
      <c r="B21" s="9">
        <v>14</v>
      </c>
      <c r="C21" s="16" t="s">
        <v>1012</v>
      </c>
      <c r="D21" s="18">
        <v>199980107513</v>
      </c>
      <c r="E21" s="15" t="s">
        <v>1013</v>
      </c>
      <c r="F21" s="1" t="s">
        <v>14</v>
      </c>
      <c r="G21" s="12" t="str">
        <f t="shared" si="10"/>
        <v>AB</v>
      </c>
      <c r="H21" s="12" t="s">
        <v>14</v>
      </c>
      <c r="I21" s="12" t="str">
        <f t="shared" si="0"/>
        <v>AB</v>
      </c>
      <c r="J21" s="12" t="s">
        <v>14</v>
      </c>
      <c r="K21" s="12" t="str">
        <f t="shared" si="1"/>
        <v>AB</v>
      </c>
      <c r="L21" s="12" t="s">
        <v>14</v>
      </c>
      <c r="M21" s="12" t="str">
        <f t="shared" si="2"/>
        <v>AB</v>
      </c>
      <c r="N21" s="12" t="s">
        <v>14</v>
      </c>
      <c r="O21" s="12" t="str">
        <f t="shared" si="3"/>
        <v>AB</v>
      </c>
      <c r="P21" s="12" t="s">
        <v>14</v>
      </c>
      <c r="Q21" s="12" t="str">
        <f t="shared" si="4"/>
        <v>AB</v>
      </c>
      <c r="R21" s="12">
        <v>0</v>
      </c>
      <c r="S21" s="12" t="str">
        <f t="shared" si="12"/>
        <v>0%</v>
      </c>
      <c r="T21" s="12">
        <f t="shared" si="5"/>
        <v>0</v>
      </c>
      <c r="U21" s="12">
        <f t="shared" si="6"/>
        <v>0</v>
      </c>
      <c r="V21" s="12">
        <f t="shared" si="7"/>
        <v>0</v>
      </c>
      <c r="W21" s="12">
        <f t="shared" si="8"/>
        <v>0</v>
      </c>
      <c r="X21" s="12">
        <f t="shared" si="9"/>
        <v>6</v>
      </c>
      <c r="Y21" s="19"/>
      <c r="Z21" s="15" t="s">
        <v>7</v>
      </c>
      <c r="AA21" s="12"/>
      <c r="AB21" s="47"/>
    </row>
    <row r="22" spans="2:28" ht="27" customHeight="1">
      <c r="B22" s="9">
        <v>15</v>
      </c>
      <c r="C22" s="16" t="s">
        <v>1014</v>
      </c>
      <c r="D22" s="18" t="s">
        <v>1015</v>
      </c>
      <c r="E22" s="15" t="s">
        <v>1016</v>
      </c>
      <c r="F22" s="1">
        <v>76</v>
      </c>
      <c r="G22" s="12" t="str">
        <f t="shared" si="10"/>
        <v>D</v>
      </c>
      <c r="H22" s="12">
        <v>68</v>
      </c>
      <c r="I22" s="12" t="str">
        <f t="shared" si="0"/>
        <v>C</v>
      </c>
      <c r="J22" s="12">
        <v>66</v>
      </c>
      <c r="K22" s="12" t="str">
        <f t="shared" si="1"/>
        <v>C</v>
      </c>
      <c r="L22" s="12">
        <v>60</v>
      </c>
      <c r="M22" s="12" t="str">
        <f t="shared" si="2"/>
        <v>C</v>
      </c>
      <c r="N22" s="12">
        <v>63</v>
      </c>
      <c r="O22" s="12" t="str">
        <f t="shared" si="3"/>
        <v>C</v>
      </c>
      <c r="P22" s="12">
        <v>47</v>
      </c>
      <c r="Q22" s="12" t="str">
        <f t="shared" si="4"/>
        <v>S</v>
      </c>
      <c r="R22" s="12">
        <f t="shared" si="11"/>
        <v>380</v>
      </c>
      <c r="S22" s="12" t="str">
        <f t="shared" si="12"/>
        <v>63%</v>
      </c>
      <c r="T22" s="12">
        <f t="shared" si="5"/>
        <v>1</v>
      </c>
      <c r="U22" s="12">
        <f t="shared" si="6"/>
        <v>4</v>
      </c>
      <c r="V22" s="12">
        <f t="shared" si="7"/>
        <v>1</v>
      </c>
      <c r="W22" s="12">
        <f t="shared" si="8"/>
        <v>0</v>
      </c>
      <c r="X22" s="12">
        <f t="shared" si="9"/>
        <v>0</v>
      </c>
      <c r="Y22" s="19"/>
      <c r="Z22" s="15" t="str">
        <f t="shared" si="13"/>
        <v>Ordinary Pass</v>
      </c>
      <c r="AA22" s="12"/>
      <c r="AB22" s="47"/>
    </row>
    <row r="23" spans="2:28" ht="27" customHeight="1">
      <c r="B23" s="9">
        <v>16</v>
      </c>
      <c r="C23" s="16" t="s">
        <v>1017</v>
      </c>
      <c r="D23" s="18" t="s">
        <v>1018</v>
      </c>
      <c r="E23" s="15" t="s">
        <v>1019</v>
      </c>
      <c r="F23" s="1">
        <v>60</v>
      </c>
      <c r="G23" s="12" t="str">
        <f t="shared" si="10"/>
        <v>C</v>
      </c>
      <c r="H23" s="12">
        <v>67</v>
      </c>
      <c r="I23" s="12" t="str">
        <f t="shared" si="0"/>
        <v>C</v>
      </c>
      <c r="J23" s="12">
        <v>78</v>
      </c>
      <c r="K23" s="12" t="str">
        <f t="shared" si="1"/>
        <v>D</v>
      </c>
      <c r="L23" s="12">
        <v>42</v>
      </c>
      <c r="M23" s="12" t="str">
        <f t="shared" si="2"/>
        <v>S</v>
      </c>
      <c r="N23" s="12">
        <v>64</v>
      </c>
      <c r="O23" s="12" t="str">
        <f t="shared" si="3"/>
        <v>C</v>
      </c>
      <c r="P23" s="12">
        <v>49</v>
      </c>
      <c r="Q23" s="12" t="str">
        <f t="shared" si="4"/>
        <v>S</v>
      </c>
      <c r="R23" s="12">
        <f t="shared" si="11"/>
        <v>360</v>
      </c>
      <c r="S23" s="12" t="str">
        <f t="shared" si="12"/>
        <v>60%</v>
      </c>
      <c r="T23" s="12">
        <f t="shared" si="5"/>
        <v>1</v>
      </c>
      <c r="U23" s="12">
        <f t="shared" si="6"/>
        <v>3</v>
      </c>
      <c r="V23" s="12">
        <f t="shared" si="7"/>
        <v>2</v>
      </c>
      <c r="W23" s="12">
        <f t="shared" si="8"/>
        <v>0</v>
      </c>
      <c r="X23" s="12">
        <f t="shared" si="9"/>
        <v>0</v>
      </c>
      <c r="Y23" s="19"/>
      <c r="Z23" s="15" t="str">
        <f t="shared" si="13"/>
        <v>Ordinary Pass</v>
      </c>
      <c r="AA23" s="12"/>
      <c r="AB23" s="47"/>
    </row>
    <row r="24" spans="2:28" ht="27" customHeight="1">
      <c r="B24" s="9">
        <v>17</v>
      </c>
      <c r="C24" s="16" t="s">
        <v>1020</v>
      </c>
      <c r="D24" s="18">
        <v>200175700973</v>
      </c>
      <c r="E24" s="15" t="s">
        <v>1021</v>
      </c>
      <c r="F24" s="1">
        <v>76</v>
      </c>
      <c r="G24" s="12" t="str">
        <f t="shared" si="10"/>
        <v>D</v>
      </c>
      <c r="H24" s="12">
        <v>79</v>
      </c>
      <c r="I24" s="12" t="str">
        <f t="shared" si="0"/>
        <v>D</v>
      </c>
      <c r="J24" s="12">
        <v>92</v>
      </c>
      <c r="K24" s="12" t="str">
        <f t="shared" si="1"/>
        <v>D</v>
      </c>
      <c r="L24" s="12">
        <v>60</v>
      </c>
      <c r="M24" s="12" t="str">
        <f t="shared" si="2"/>
        <v>C</v>
      </c>
      <c r="N24" s="12">
        <v>83</v>
      </c>
      <c r="O24" s="12" t="str">
        <f t="shared" si="3"/>
        <v>D</v>
      </c>
      <c r="P24" s="12">
        <v>67</v>
      </c>
      <c r="Q24" s="12" t="str">
        <f t="shared" si="4"/>
        <v>C</v>
      </c>
      <c r="R24" s="12">
        <f t="shared" si="11"/>
        <v>457</v>
      </c>
      <c r="S24" s="12" t="str">
        <f t="shared" si="12"/>
        <v>76%</v>
      </c>
      <c r="T24" s="12">
        <f t="shared" si="5"/>
        <v>4</v>
      </c>
      <c r="U24" s="12">
        <f t="shared" si="6"/>
        <v>2</v>
      </c>
      <c r="V24" s="12">
        <f t="shared" si="7"/>
        <v>0</v>
      </c>
      <c r="W24" s="12">
        <f t="shared" si="8"/>
        <v>0</v>
      </c>
      <c r="X24" s="12">
        <f t="shared" si="9"/>
        <v>0</v>
      </c>
      <c r="Y24" s="19"/>
      <c r="Z24" s="15" t="str">
        <f t="shared" si="13"/>
        <v>First Class</v>
      </c>
      <c r="AA24" s="12"/>
      <c r="AB24" s="47"/>
    </row>
    <row r="25" spans="2:28" ht="27" customHeight="1">
      <c r="B25" s="9">
        <v>18</v>
      </c>
      <c r="C25" s="16" t="s">
        <v>1022</v>
      </c>
      <c r="D25" s="18" t="s">
        <v>1023</v>
      </c>
      <c r="E25" s="15" t="s">
        <v>1024</v>
      </c>
      <c r="F25" s="1">
        <v>68</v>
      </c>
      <c r="G25" s="12" t="str">
        <f t="shared" si="10"/>
        <v>C</v>
      </c>
      <c r="H25" s="12">
        <v>64</v>
      </c>
      <c r="I25" s="12" t="str">
        <f t="shared" si="0"/>
        <v>C</v>
      </c>
      <c r="J25" s="12">
        <v>73</v>
      </c>
      <c r="K25" s="12" t="str">
        <f t="shared" si="1"/>
        <v>C</v>
      </c>
      <c r="L25" s="12">
        <v>47</v>
      </c>
      <c r="M25" s="12" t="str">
        <f t="shared" si="2"/>
        <v>S</v>
      </c>
      <c r="N25" s="12">
        <v>68</v>
      </c>
      <c r="O25" s="12" t="str">
        <f t="shared" si="3"/>
        <v>C</v>
      </c>
      <c r="P25" s="12">
        <v>57</v>
      </c>
      <c r="Q25" s="12" t="str">
        <f t="shared" si="4"/>
        <v>C</v>
      </c>
      <c r="R25" s="12">
        <f t="shared" si="11"/>
        <v>377</v>
      </c>
      <c r="S25" s="12" t="str">
        <f t="shared" si="12"/>
        <v>63%</v>
      </c>
      <c r="T25" s="12">
        <f t="shared" si="5"/>
        <v>0</v>
      </c>
      <c r="U25" s="12">
        <f t="shared" si="6"/>
        <v>5</v>
      </c>
      <c r="V25" s="12">
        <f t="shared" si="7"/>
        <v>1</v>
      </c>
      <c r="W25" s="12">
        <f t="shared" si="8"/>
        <v>0</v>
      </c>
      <c r="X25" s="12">
        <f t="shared" si="9"/>
        <v>0</v>
      </c>
      <c r="Y25" s="19"/>
      <c r="Z25" s="15" t="str">
        <f t="shared" si="13"/>
        <v>Ordinary Pass</v>
      </c>
      <c r="AA25" s="12"/>
      <c r="AB25" s="47"/>
    </row>
    <row r="26" spans="2:28" ht="27" customHeight="1">
      <c r="B26" s="9">
        <v>19</v>
      </c>
      <c r="C26" s="16" t="s">
        <v>1025</v>
      </c>
      <c r="D26" s="18" t="s">
        <v>1026</v>
      </c>
      <c r="E26" s="15" t="s">
        <v>1027</v>
      </c>
      <c r="F26" s="1">
        <v>57</v>
      </c>
      <c r="G26" s="12" t="str">
        <f t="shared" si="10"/>
        <v>C</v>
      </c>
      <c r="H26" s="12">
        <v>52</v>
      </c>
      <c r="I26" s="12" t="str">
        <f t="shared" si="0"/>
        <v>S</v>
      </c>
      <c r="J26" s="12">
        <v>80</v>
      </c>
      <c r="K26" s="12" t="str">
        <f t="shared" si="1"/>
        <v>D</v>
      </c>
      <c r="L26" s="12">
        <v>42</v>
      </c>
      <c r="M26" s="12" t="str">
        <f t="shared" si="2"/>
        <v>S</v>
      </c>
      <c r="N26" s="12">
        <v>69</v>
      </c>
      <c r="O26" s="12" t="str">
        <f t="shared" si="3"/>
        <v>C</v>
      </c>
      <c r="P26" s="12">
        <v>54</v>
      </c>
      <c r="Q26" s="12" t="str">
        <f t="shared" si="4"/>
        <v>S</v>
      </c>
      <c r="R26" s="12">
        <f t="shared" si="11"/>
        <v>354</v>
      </c>
      <c r="S26" s="12" t="str">
        <f t="shared" si="12"/>
        <v>59%</v>
      </c>
      <c r="T26" s="12">
        <f t="shared" si="5"/>
        <v>1</v>
      </c>
      <c r="U26" s="12">
        <f t="shared" si="6"/>
        <v>2</v>
      </c>
      <c r="V26" s="12">
        <f t="shared" si="7"/>
        <v>3</v>
      </c>
      <c r="W26" s="12">
        <f t="shared" si="8"/>
        <v>0</v>
      </c>
      <c r="X26" s="12">
        <f t="shared" si="9"/>
        <v>0</v>
      </c>
      <c r="Y26" s="19"/>
      <c r="Z26" s="15" t="str">
        <f t="shared" si="13"/>
        <v>Ordinary Pass</v>
      </c>
      <c r="AA26" s="12"/>
      <c r="AB26" s="47"/>
    </row>
    <row r="27" spans="2:28" ht="27" customHeight="1">
      <c r="B27" s="9">
        <v>20</v>
      </c>
      <c r="C27" s="16" t="s">
        <v>1028</v>
      </c>
      <c r="D27" s="18" t="s">
        <v>1029</v>
      </c>
      <c r="E27" s="15" t="s">
        <v>1030</v>
      </c>
      <c r="F27" s="1">
        <v>59</v>
      </c>
      <c r="G27" s="12" t="str">
        <f t="shared" si="10"/>
        <v>C</v>
      </c>
      <c r="H27" s="12">
        <v>68</v>
      </c>
      <c r="I27" s="12" t="str">
        <f t="shared" si="0"/>
        <v>C</v>
      </c>
      <c r="J27" s="12">
        <v>63</v>
      </c>
      <c r="K27" s="12" t="str">
        <f t="shared" si="1"/>
        <v>C</v>
      </c>
      <c r="L27" s="12">
        <v>53</v>
      </c>
      <c r="M27" s="12" t="str">
        <f t="shared" si="2"/>
        <v>S</v>
      </c>
      <c r="N27" s="12">
        <v>51</v>
      </c>
      <c r="O27" s="12" t="str">
        <f t="shared" si="3"/>
        <v>S</v>
      </c>
      <c r="P27" s="12">
        <v>49</v>
      </c>
      <c r="Q27" s="12" t="str">
        <f t="shared" si="4"/>
        <v>S</v>
      </c>
      <c r="R27" s="12">
        <f t="shared" si="11"/>
        <v>343</v>
      </c>
      <c r="S27" s="12" t="str">
        <f t="shared" si="12"/>
        <v>57%</v>
      </c>
      <c r="T27" s="12">
        <f t="shared" si="5"/>
        <v>0</v>
      </c>
      <c r="U27" s="12">
        <f t="shared" si="6"/>
        <v>3</v>
      </c>
      <c r="V27" s="12">
        <f t="shared" si="7"/>
        <v>3</v>
      </c>
      <c r="W27" s="12">
        <f t="shared" si="8"/>
        <v>0</v>
      </c>
      <c r="X27" s="12">
        <f t="shared" si="9"/>
        <v>0</v>
      </c>
      <c r="Y27" s="19"/>
      <c r="Z27" s="15" t="str">
        <f t="shared" si="13"/>
        <v>Ordinary Pass</v>
      </c>
      <c r="AA27" s="12"/>
      <c r="AB27" s="47"/>
    </row>
    <row r="28" spans="2:28" ht="27" customHeight="1">
      <c r="B28" s="9">
        <v>21</v>
      </c>
      <c r="C28" s="16" t="s">
        <v>1031</v>
      </c>
      <c r="D28" s="18" t="s">
        <v>1032</v>
      </c>
      <c r="E28" s="15" t="s">
        <v>1033</v>
      </c>
      <c r="F28" s="1">
        <v>48</v>
      </c>
      <c r="G28" s="12" t="str">
        <f t="shared" ref="G28:Q43" si="14">IF(F28="-", "AB", IF(F28&gt;=75, "D", IF(F28&gt;=55, "C", IF(F28&gt;=35, "S", IF(F28&gt;=0, "F")))))</f>
        <v>S</v>
      </c>
      <c r="H28" s="12">
        <v>55</v>
      </c>
      <c r="I28" s="12" t="str">
        <f t="shared" ref="I28:I36" si="15">IF(H28="-", "AB", IF(H28&gt;=75, "D", IF(H28&gt;=55, "C", IF(H28&gt;=35, "S", IF(H28&gt;=0, "F")))))</f>
        <v>C</v>
      </c>
      <c r="J28" s="12">
        <v>49</v>
      </c>
      <c r="K28" s="12" t="str">
        <f t="shared" ref="K28:K36" si="16">IF(J28="-", "AB", IF(J28&gt;=75, "D", IF(J28&gt;=55, "C", IF(J28&gt;=35, "S", IF(J28&gt;=0, "F")))))</f>
        <v>S</v>
      </c>
      <c r="L28" s="12">
        <v>61</v>
      </c>
      <c r="M28" s="12" t="str">
        <f t="shared" ref="M28:M36" si="17">IF(L28="-", "AB", IF(L28&gt;=75, "D", IF(L28&gt;=55, "C", IF(L28&gt;=35, "S", IF(L28&gt;=0, "F")))))</f>
        <v>C</v>
      </c>
      <c r="N28" s="12">
        <v>63</v>
      </c>
      <c r="O28" s="12" t="str">
        <f t="shared" ref="O28:O36" si="18">IF(N28="-", "AB", IF(N28&gt;=75, "D", IF(N28&gt;=55, "C", IF(N28&gt;=35, "S", IF(N28&gt;=0, "F")))))</f>
        <v>C</v>
      </c>
      <c r="P28" s="12">
        <v>45</v>
      </c>
      <c r="Q28" s="12" t="str">
        <f t="shared" ref="Q28:Q36" si="19">IF(P28="-", "AB", IF(P28&gt;=75, "D", IF(P28&gt;=55, "C", IF(P28&gt;=35, "S", IF(P28&gt;=0, "F")))))</f>
        <v>S</v>
      </c>
      <c r="R28" s="12">
        <f t="shared" ref="R28:R47" si="20">SUM(F28+H28+J28+L28+N28+P28)</f>
        <v>321</v>
      </c>
      <c r="S28" s="12" t="str">
        <f t="shared" ref="S28:S36" si="21">ROUND(R28/6, 0)&amp;"%"</f>
        <v>54%</v>
      </c>
      <c r="T28" s="12">
        <f t="shared" ref="T28:T47" si="22">COUNTIF(F28:Q28, "D")</f>
        <v>0</v>
      </c>
      <c r="U28" s="12">
        <f t="shared" ref="U28:U47" si="23">COUNTIF(G28:T28, "C")</f>
        <v>3</v>
      </c>
      <c r="V28" s="12">
        <f t="shared" ref="V28:V47" si="24">COUNTIF(H28:U28, "S")</f>
        <v>2</v>
      </c>
      <c r="W28" s="12">
        <f t="shared" ref="W28:W47" si="25">COUNTIF(I28:V28, "F")</f>
        <v>0</v>
      </c>
      <c r="X28" s="12">
        <f t="shared" ref="X28:X47" si="26">COUNTIF(F28:W28, "-")</f>
        <v>0</v>
      </c>
      <c r="Y28" s="19"/>
      <c r="Z28" s="15" t="str">
        <f t="shared" ref="Z28" si="27">IF(X28&gt;0, "Not Completed",
   IF(T28=10, "First Class",
      IF(S28&gt;75, IF(V28&gt;0, "Ordinary Pass", "First Class"),
         IF(S28&gt;65, IF(V28&gt;0, "Ordinary Pass", "Second Class"), "none")
      )
   )
)</f>
        <v>Ordinary Pass</v>
      </c>
      <c r="AA28" s="12"/>
      <c r="AB28" s="47"/>
    </row>
    <row r="29" spans="2:28" ht="27" customHeight="1">
      <c r="B29" s="9">
        <v>22</v>
      </c>
      <c r="C29" s="16" t="s">
        <v>1034</v>
      </c>
      <c r="D29" s="18">
        <v>197911902137</v>
      </c>
      <c r="E29" s="15" t="s">
        <v>1035</v>
      </c>
      <c r="F29" s="1" t="s">
        <v>14</v>
      </c>
      <c r="G29" s="12" t="str">
        <f t="shared" si="14"/>
        <v>AB</v>
      </c>
      <c r="H29" s="12" t="s">
        <v>14</v>
      </c>
      <c r="I29" s="12" t="str">
        <f t="shared" si="15"/>
        <v>AB</v>
      </c>
      <c r="J29" s="12" t="s">
        <v>14</v>
      </c>
      <c r="K29" s="12" t="str">
        <f t="shared" si="16"/>
        <v>AB</v>
      </c>
      <c r="L29" s="12" t="s">
        <v>14</v>
      </c>
      <c r="M29" s="12" t="str">
        <f t="shared" si="17"/>
        <v>AB</v>
      </c>
      <c r="N29" s="12" t="s">
        <v>14</v>
      </c>
      <c r="O29" s="12" t="str">
        <f t="shared" si="18"/>
        <v>AB</v>
      </c>
      <c r="P29" s="12" t="s">
        <v>14</v>
      </c>
      <c r="Q29" s="12" t="str">
        <f t="shared" si="19"/>
        <v>AB</v>
      </c>
      <c r="R29" s="12">
        <v>0</v>
      </c>
      <c r="S29" s="12" t="str">
        <f t="shared" si="21"/>
        <v>0%</v>
      </c>
      <c r="T29" s="12">
        <f t="shared" si="22"/>
        <v>0</v>
      </c>
      <c r="U29" s="12">
        <f t="shared" si="23"/>
        <v>0</v>
      </c>
      <c r="V29" s="12">
        <f t="shared" si="24"/>
        <v>0</v>
      </c>
      <c r="W29" s="12">
        <f t="shared" si="25"/>
        <v>0</v>
      </c>
      <c r="X29" s="12">
        <f t="shared" si="26"/>
        <v>6</v>
      </c>
      <c r="Y29" s="19"/>
      <c r="Z29" s="15" t="s">
        <v>7</v>
      </c>
      <c r="AA29" s="12"/>
      <c r="AB29" s="47"/>
    </row>
    <row r="30" spans="2:28" ht="27" customHeight="1">
      <c r="B30" s="9">
        <v>23</v>
      </c>
      <c r="C30" s="16" t="s">
        <v>1036</v>
      </c>
      <c r="D30" s="18" t="s">
        <v>1037</v>
      </c>
      <c r="E30" s="15" t="s">
        <v>1038</v>
      </c>
      <c r="F30" s="1">
        <v>67</v>
      </c>
      <c r="G30" s="12" t="str">
        <f t="shared" si="14"/>
        <v>C</v>
      </c>
      <c r="H30" s="12">
        <v>91</v>
      </c>
      <c r="I30" s="12" t="str">
        <f t="shared" si="15"/>
        <v>D</v>
      </c>
      <c r="J30" s="12">
        <v>78</v>
      </c>
      <c r="K30" s="12" t="str">
        <f t="shared" si="16"/>
        <v>D</v>
      </c>
      <c r="L30" s="12">
        <v>78</v>
      </c>
      <c r="M30" s="12" t="str">
        <f t="shared" si="17"/>
        <v>D</v>
      </c>
      <c r="N30" s="12">
        <v>75</v>
      </c>
      <c r="O30" s="12" t="str">
        <f t="shared" si="18"/>
        <v>D</v>
      </c>
      <c r="P30" s="12">
        <v>58</v>
      </c>
      <c r="Q30" s="12" t="str">
        <f t="shared" si="19"/>
        <v>C</v>
      </c>
      <c r="R30" s="12">
        <f t="shared" si="20"/>
        <v>447</v>
      </c>
      <c r="S30" s="12" t="str">
        <f t="shared" si="21"/>
        <v>75%</v>
      </c>
      <c r="T30" s="12">
        <f t="shared" si="22"/>
        <v>4</v>
      </c>
      <c r="U30" s="12">
        <f t="shared" si="23"/>
        <v>2</v>
      </c>
      <c r="V30" s="12">
        <f t="shared" si="24"/>
        <v>0</v>
      </c>
      <c r="W30" s="12">
        <f t="shared" si="25"/>
        <v>0</v>
      </c>
      <c r="X30" s="12">
        <f t="shared" si="26"/>
        <v>0</v>
      </c>
      <c r="Y30" s="19"/>
      <c r="Z30" s="15" t="str">
        <f>IF(X30&gt;0, "Not Completed",
   IF(T30=10, "First Class",
      IF(S30&gt;75, IF(V30&gt;0, "Ordinary Pass", "First Class"),
         IF(S30&gt;65, IF(V30&gt;0, "Ordinary Pass", "Second Class"), "none")
      )
   )
)</f>
        <v>First Class</v>
      </c>
      <c r="AA30" s="12"/>
      <c r="AB30" s="47"/>
    </row>
    <row r="31" spans="2:28" ht="27" customHeight="1">
      <c r="B31" s="9">
        <v>24</v>
      </c>
      <c r="C31" s="16" t="s">
        <v>1039</v>
      </c>
      <c r="D31" s="18">
        <v>199702703255</v>
      </c>
      <c r="E31" s="15" t="s">
        <v>1040</v>
      </c>
      <c r="F31" s="1">
        <v>42</v>
      </c>
      <c r="G31" s="12" t="str">
        <f t="shared" si="14"/>
        <v>S</v>
      </c>
      <c r="H31" s="12">
        <v>57</v>
      </c>
      <c r="I31" s="12" t="str">
        <f t="shared" si="15"/>
        <v>C</v>
      </c>
      <c r="J31" s="12">
        <v>48</v>
      </c>
      <c r="K31" s="12" t="str">
        <f t="shared" si="16"/>
        <v>S</v>
      </c>
      <c r="L31" s="12">
        <v>37</v>
      </c>
      <c r="M31" s="12" t="str">
        <f t="shared" si="17"/>
        <v>S</v>
      </c>
      <c r="N31" s="12">
        <v>71</v>
      </c>
      <c r="O31" s="12" t="str">
        <f t="shared" si="18"/>
        <v>C</v>
      </c>
      <c r="P31" s="12">
        <v>36</v>
      </c>
      <c r="Q31" s="12" t="str">
        <f t="shared" si="19"/>
        <v>S</v>
      </c>
      <c r="R31" s="12">
        <f t="shared" si="20"/>
        <v>291</v>
      </c>
      <c r="S31" s="12" t="str">
        <f t="shared" si="21"/>
        <v>49%</v>
      </c>
      <c r="T31" s="12">
        <f t="shared" si="22"/>
        <v>0</v>
      </c>
      <c r="U31" s="12">
        <f t="shared" si="23"/>
        <v>2</v>
      </c>
      <c r="V31" s="12">
        <f t="shared" si="24"/>
        <v>3</v>
      </c>
      <c r="W31" s="12">
        <f t="shared" si="25"/>
        <v>0</v>
      </c>
      <c r="X31" s="12">
        <f t="shared" si="26"/>
        <v>0</v>
      </c>
      <c r="Y31" s="19"/>
      <c r="Z31" s="15" t="str">
        <f t="shared" ref="Z31:Z36" si="28">IF(X31&gt;0, "Not Completed",
   IF(T31=10, "First Class",
      IF(S31&gt;75, IF(V31&gt;0, "Ordinary Pass", "First Class"),
         IF(S31&gt;65, IF(V31&gt;0, "Ordinary Pass", "Second Class"), "none")
      )
   )
)</f>
        <v>Ordinary Pass</v>
      </c>
      <c r="AA31" s="12"/>
      <c r="AB31" s="47"/>
    </row>
    <row r="32" spans="2:28" ht="27" customHeight="1">
      <c r="B32" s="9">
        <v>25</v>
      </c>
      <c r="C32" s="16" t="s">
        <v>1041</v>
      </c>
      <c r="D32" s="18" t="s">
        <v>1042</v>
      </c>
      <c r="E32" s="15" t="s">
        <v>1043</v>
      </c>
      <c r="F32" s="1">
        <v>55</v>
      </c>
      <c r="G32" s="12" t="str">
        <f t="shared" si="14"/>
        <v>C</v>
      </c>
      <c r="H32" s="12">
        <v>52</v>
      </c>
      <c r="I32" s="12" t="str">
        <f t="shared" si="15"/>
        <v>S</v>
      </c>
      <c r="J32" s="12">
        <v>41</v>
      </c>
      <c r="K32" s="12" t="str">
        <f t="shared" si="16"/>
        <v>S</v>
      </c>
      <c r="L32" s="12">
        <v>51</v>
      </c>
      <c r="M32" s="12" t="str">
        <f t="shared" si="17"/>
        <v>S</v>
      </c>
      <c r="N32" s="12">
        <v>51</v>
      </c>
      <c r="O32" s="12" t="str">
        <f t="shared" si="18"/>
        <v>S</v>
      </c>
      <c r="P32" s="12">
        <v>48</v>
      </c>
      <c r="Q32" s="12" t="str">
        <f t="shared" si="19"/>
        <v>S</v>
      </c>
      <c r="R32" s="12">
        <f t="shared" si="20"/>
        <v>298</v>
      </c>
      <c r="S32" s="12" t="str">
        <f t="shared" si="21"/>
        <v>50%</v>
      </c>
      <c r="T32" s="12">
        <f t="shared" si="22"/>
        <v>0</v>
      </c>
      <c r="U32" s="12">
        <f t="shared" si="23"/>
        <v>1</v>
      </c>
      <c r="V32" s="12">
        <f t="shared" si="24"/>
        <v>5</v>
      </c>
      <c r="W32" s="12">
        <f t="shared" si="25"/>
        <v>0</v>
      </c>
      <c r="X32" s="12">
        <f t="shared" si="26"/>
        <v>0</v>
      </c>
      <c r="Y32" s="19"/>
      <c r="Z32" s="15" t="str">
        <f t="shared" si="28"/>
        <v>Ordinary Pass</v>
      </c>
      <c r="AA32" s="12"/>
      <c r="AB32" s="47"/>
    </row>
    <row r="33" spans="2:28" ht="27" customHeight="1">
      <c r="B33" s="9">
        <v>26</v>
      </c>
      <c r="C33" s="16" t="s">
        <v>1044</v>
      </c>
      <c r="D33" s="18" t="s">
        <v>1045</v>
      </c>
      <c r="E33" s="15" t="s">
        <v>1046</v>
      </c>
      <c r="F33" s="1">
        <v>36</v>
      </c>
      <c r="G33" s="12" t="str">
        <f t="shared" si="14"/>
        <v>S</v>
      </c>
      <c r="H33" s="12">
        <v>40</v>
      </c>
      <c r="I33" s="12" t="str">
        <f t="shared" si="15"/>
        <v>S</v>
      </c>
      <c r="J33" s="12">
        <v>35</v>
      </c>
      <c r="K33" s="12" t="str">
        <f t="shared" si="16"/>
        <v>S</v>
      </c>
      <c r="L33" s="12">
        <v>41</v>
      </c>
      <c r="M33" s="12" t="str">
        <f t="shared" si="17"/>
        <v>S</v>
      </c>
      <c r="N33" s="12">
        <v>58</v>
      </c>
      <c r="O33" s="12" t="str">
        <f t="shared" si="18"/>
        <v>C</v>
      </c>
      <c r="P33" s="12">
        <v>39</v>
      </c>
      <c r="Q33" s="12" t="str">
        <f t="shared" si="19"/>
        <v>S</v>
      </c>
      <c r="R33" s="12">
        <f t="shared" si="20"/>
        <v>249</v>
      </c>
      <c r="S33" s="12" t="str">
        <f t="shared" si="21"/>
        <v>42%</v>
      </c>
      <c r="T33" s="12">
        <f t="shared" si="22"/>
        <v>0</v>
      </c>
      <c r="U33" s="12">
        <f t="shared" si="23"/>
        <v>1</v>
      </c>
      <c r="V33" s="12">
        <f t="shared" si="24"/>
        <v>4</v>
      </c>
      <c r="W33" s="12">
        <f t="shared" si="25"/>
        <v>0</v>
      </c>
      <c r="X33" s="12">
        <f t="shared" si="26"/>
        <v>0</v>
      </c>
      <c r="Y33" s="19"/>
      <c r="Z33" s="15" t="str">
        <f t="shared" si="28"/>
        <v>Ordinary Pass</v>
      </c>
      <c r="AA33" s="12"/>
      <c r="AB33" s="47"/>
    </row>
    <row r="34" spans="2:28" ht="27" customHeight="1">
      <c r="B34" s="9">
        <v>27</v>
      </c>
      <c r="C34" s="16" t="s">
        <v>1047</v>
      </c>
      <c r="D34" s="18" t="s">
        <v>1048</v>
      </c>
      <c r="E34" s="15" t="s">
        <v>1049</v>
      </c>
      <c r="F34" s="1" t="s">
        <v>14</v>
      </c>
      <c r="G34" s="12" t="str">
        <f t="shared" si="14"/>
        <v>AB</v>
      </c>
      <c r="H34" s="12" t="s">
        <v>14</v>
      </c>
      <c r="I34" s="12" t="str">
        <f t="shared" si="15"/>
        <v>AB</v>
      </c>
      <c r="J34" s="12" t="s">
        <v>14</v>
      </c>
      <c r="K34" s="12" t="str">
        <f t="shared" si="16"/>
        <v>AB</v>
      </c>
      <c r="L34" s="12" t="s">
        <v>14</v>
      </c>
      <c r="M34" s="12" t="str">
        <f t="shared" si="17"/>
        <v>AB</v>
      </c>
      <c r="N34" s="12" t="s">
        <v>14</v>
      </c>
      <c r="O34" s="12" t="str">
        <f t="shared" si="18"/>
        <v>AB</v>
      </c>
      <c r="P34" s="12" t="s">
        <v>14</v>
      </c>
      <c r="Q34" s="12" t="str">
        <f t="shared" si="19"/>
        <v>AB</v>
      </c>
      <c r="R34" s="12">
        <v>0</v>
      </c>
      <c r="S34" s="12" t="str">
        <f t="shared" si="21"/>
        <v>0%</v>
      </c>
      <c r="T34" s="12">
        <f t="shared" si="22"/>
        <v>0</v>
      </c>
      <c r="U34" s="12">
        <f t="shared" si="23"/>
        <v>0</v>
      </c>
      <c r="V34" s="12">
        <f t="shared" si="24"/>
        <v>0</v>
      </c>
      <c r="W34" s="12">
        <f t="shared" si="25"/>
        <v>0</v>
      </c>
      <c r="X34" s="12">
        <f t="shared" si="26"/>
        <v>6</v>
      </c>
      <c r="Y34" s="19"/>
      <c r="Z34" s="15" t="s">
        <v>7</v>
      </c>
      <c r="AA34" s="12"/>
      <c r="AB34" s="47"/>
    </row>
    <row r="35" spans="2:28" ht="27" customHeight="1">
      <c r="B35" s="9">
        <v>28</v>
      </c>
      <c r="C35" s="16" t="s">
        <v>1050</v>
      </c>
      <c r="D35" s="18">
        <v>200012801637</v>
      </c>
      <c r="E35" s="15" t="s">
        <v>1051</v>
      </c>
      <c r="F35" s="1" t="s">
        <v>14</v>
      </c>
      <c r="G35" s="12" t="str">
        <f t="shared" si="14"/>
        <v>AB</v>
      </c>
      <c r="H35" s="12" t="s">
        <v>14</v>
      </c>
      <c r="I35" s="12" t="str">
        <f t="shared" si="15"/>
        <v>AB</v>
      </c>
      <c r="J35" s="12" t="s">
        <v>14</v>
      </c>
      <c r="K35" s="12" t="str">
        <f t="shared" si="16"/>
        <v>AB</v>
      </c>
      <c r="L35" s="12" t="s">
        <v>14</v>
      </c>
      <c r="M35" s="12" t="str">
        <f t="shared" si="17"/>
        <v>AB</v>
      </c>
      <c r="N35" s="12" t="s">
        <v>14</v>
      </c>
      <c r="O35" s="12" t="str">
        <f t="shared" si="18"/>
        <v>AB</v>
      </c>
      <c r="P35" s="12" t="s">
        <v>14</v>
      </c>
      <c r="Q35" s="12" t="str">
        <f t="shared" si="19"/>
        <v>AB</v>
      </c>
      <c r="R35" s="12">
        <v>0</v>
      </c>
      <c r="S35" s="12" t="str">
        <f t="shared" si="21"/>
        <v>0%</v>
      </c>
      <c r="T35" s="12">
        <f t="shared" si="22"/>
        <v>0</v>
      </c>
      <c r="U35" s="12">
        <f t="shared" si="23"/>
        <v>0</v>
      </c>
      <c r="V35" s="12">
        <f t="shared" si="24"/>
        <v>0</v>
      </c>
      <c r="W35" s="12">
        <f t="shared" si="25"/>
        <v>0</v>
      </c>
      <c r="X35" s="12">
        <f t="shared" si="26"/>
        <v>6</v>
      </c>
      <c r="Y35" s="19"/>
      <c r="Z35" s="15" t="s">
        <v>7</v>
      </c>
      <c r="AA35" s="12"/>
      <c r="AB35" s="47"/>
    </row>
    <row r="36" spans="2:28" ht="27" customHeight="1">
      <c r="B36" s="9">
        <v>29</v>
      </c>
      <c r="C36" s="16" t="s">
        <v>1052</v>
      </c>
      <c r="D36" s="18" t="s">
        <v>1053</v>
      </c>
      <c r="E36" s="15" t="s">
        <v>1054</v>
      </c>
      <c r="F36" s="1">
        <v>67</v>
      </c>
      <c r="G36" s="12" t="str">
        <f t="shared" si="14"/>
        <v>C</v>
      </c>
      <c r="H36" s="12">
        <v>64</v>
      </c>
      <c r="I36" s="12" t="str">
        <f t="shared" si="15"/>
        <v>C</v>
      </c>
      <c r="J36" s="12">
        <v>71</v>
      </c>
      <c r="K36" s="12" t="str">
        <f t="shared" si="16"/>
        <v>C</v>
      </c>
      <c r="L36" s="12">
        <v>67</v>
      </c>
      <c r="M36" s="12" t="str">
        <f t="shared" si="17"/>
        <v>C</v>
      </c>
      <c r="N36" s="12">
        <v>65</v>
      </c>
      <c r="O36" s="12" t="str">
        <f t="shared" si="18"/>
        <v>C</v>
      </c>
      <c r="P36" s="12">
        <v>47</v>
      </c>
      <c r="Q36" s="12" t="str">
        <f t="shared" si="19"/>
        <v>S</v>
      </c>
      <c r="R36" s="12">
        <f t="shared" si="20"/>
        <v>381</v>
      </c>
      <c r="S36" s="12" t="str">
        <f t="shared" si="21"/>
        <v>64%</v>
      </c>
      <c r="T36" s="12">
        <f t="shared" si="22"/>
        <v>0</v>
      </c>
      <c r="U36" s="12">
        <f t="shared" si="23"/>
        <v>5</v>
      </c>
      <c r="V36" s="12">
        <f t="shared" si="24"/>
        <v>1</v>
      </c>
      <c r="W36" s="12">
        <f t="shared" si="25"/>
        <v>0</v>
      </c>
      <c r="X36" s="12">
        <f t="shared" si="26"/>
        <v>0</v>
      </c>
      <c r="Y36" s="19"/>
      <c r="Z36" s="15" t="str">
        <f t="shared" si="28"/>
        <v>Ordinary Pass</v>
      </c>
      <c r="AA36" s="12"/>
      <c r="AB36" s="47"/>
    </row>
    <row r="37" spans="2:28" ht="27" customHeight="1">
      <c r="B37" s="9">
        <v>30</v>
      </c>
      <c r="C37" s="16" t="s">
        <v>1055</v>
      </c>
      <c r="D37" s="17" t="s">
        <v>1056</v>
      </c>
      <c r="E37" s="15" t="s">
        <v>1057</v>
      </c>
      <c r="F37" s="1">
        <v>28</v>
      </c>
      <c r="G37" s="1" t="str">
        <f t="shared" si="14"/>
        <v>F</v>
      </c>
      <c r="H37" s="1">
        <v>30</v>
      </c>
      <c r="I37" s="1" t="str">
        <f t="shared" si="14"/>
        <v>F</v>
      </c>
      <c r="J37" s="1">
        <v>35</v>
      </c>
      <c r="K37" s="1" t="str">
        <f t="shared" si="14"/>
        <v>S</v>
      </c>
      <c r="L37" s="1">
        <v>36</v>
      </c>
      <c r="M37" s="1" t="str">
        <f t="shared" si="14"/>
        <v>S</v>
      </c>
      <c r="N37" s="1">
        <v>38</v>
      </c>
      <c r="O37" s="1" t="str">
        <f t="shared" si="14"/>
        <v>S</v>
      </c>
      <c r="P37" s="1">
        <v>19</v>
      </c>
      <c r="Q37" s="1" t="str">
        <f t="shared" si="14"/>
        <v>F</v>
      </c>
      <c r="R37" s="12">
        <f t="shared" si="20"/>
        <v>186</v>
      </c>
      <c r="S37" s="12" t="str">
        <f>ROUND(R37/6, 0)&amp;"%"</f>
        <v>31%</v>
      </c>
      <c r="T37" s="12">
        <f t="shared" si="22"/>
        <v>0</v>
      </c>
      <c r="U37" s="12">
        <f t="shared" si="23"/>
        <v>0</v>
      </c>
      <c r="V37" s="12">
        <f t="shared" si="24"/>
        <v>3</v>
      </c>
      <c r="W37" s="12">
        <f t="shared" si="25"/>
        <v>2</v>
      </c>
      <c r="X37" s="12">
        <f t="shared" si="26"/>
        <v>0</v>
      </c>
      <c r="Y37" s="19"/>
      <c r="Z37" s="15" t="s">
        <v>8</v>
      </c>
      <c r="AA37" s="12"/>
      <c r="AB37" s="47"/>
    </row>
    <row r="38" spans="2:28" ht="27" customHeight="1">
      <c r="B38" s="9">
        <v>31</v>
      </c>
      <c r="C38" s="16" t="s">
        <v>1058</v>
      </c>
      <c r="D38" s="18" t="s">
        <v>1059</v>
      </c>
      <c r="E38" s="15" t="s">
        <v>1060</v>
      </c>
      <c r="F38" s="12">
        <v>35</v>
      </c>
      <c r="G38" s="12" t="str">
        <f t="shared" si="14"/>
        <v>S</v>
      </c>
      <c r="H38" s="12">
        <v>46</v>
      </c>
      <c r="I38" s="12" t="str">
        <f t="shared" si="14"/>
        <v>S</v>
      </c>
      <c r="J38" s="12">
        <v>37</v>
      </c>
      <c r="K38" s="12" t="str">
        <f t="shared" si="14"/>
        <v>S</v>
      </c>
      <c r="L38" s="12">
        <v>40</v>
      </c>
      <c r="M38" s="12" t="str">
        <f t="shared" si="14"/>
        <v>S</v>
      </c>
      <c r="N38" s="12">
        <v>50</v>
      </c>
      <c r="O38" s="12" t="str">
        <f t="shared" si="14"/>
        <v>S</v>
      </c>
      <c r="P38" s="12">
        <v>26</v>
      </c>
      <c r="Q38" s="12" t="str">
        <f t="shared" si="14"/>
        <v>F</v>
      </c>
      <c r="R38" s="12">
        <f t="shared" si="20"/>
        <v>234</v>
      </c>
      <c r="S38" s="12" t="str">
        <f>ROUND(R38/6, 0)&amp;"%"</f>
        <v>39%</v>
      </c>
      <c r="T38" s="12">
        <f t="shared" si="22"/>
        <v>0</v>
      </c>
      <c r="U38" s="12">
        <f t="shared" si="23"/>
        <v>0</v>
      </c>
      <c r="V38" s="12">
        <f t="shared" si="24"/>
        <v>4</v>
      </c>
      <c r="W38" s="12">
        <f t="shared" si="25"/>
        <v>1</v>
      </c>
      <c r="X38" s="12">
        <f t="shared" si="26"/>
        <v>0</v>
      </c>
      <c r="Y38" s="19"/>
      <c r="Z38" s="15" t="s">
        <v>6</v>
      </c>
      <c r="AA38" s="12" t="s">
        <v>1061</v>
      </c>
      <c r="AB38" s="47"/>
    </row>
    <row r="39" spans="2:28" ht="27" customHeight="1">
      <c r="B39" s="9">
        <v>32</v>
      </c>
      <c r="C39" s="16" t="s">
        <v>1062</v>
      </c>
      <c r="D39" s="18">
        <v>200250702370</v>
      </c>
      <c r="E39" s="15" t="s">
        <v>1063</v>
      </c>
      <c r="F39" s="12">
        <v>42</v>
      </c>
      <c r="G39" s="12" t="str">
        <f t="shared" si="14"/>
        <v>S</v>
      </c>
      <c r="H39" s="12">
        <v>45</v>
      </c>
      <c r="I39" s="12" t="str">
        <f t="shared" si="14"/>
        <v>S</v>
      </c>
      <c r="J39" s="12">
        <v>27</v>
      </c>
      <c r="K39" s="12" t="str">
        <f t="shared" si="14"/>
        <v>F</v>
      </c>
      <c r="L39" s="12">
        <v>39</v>
      </c>
      <c r="M39" s="12" t="str">
        <f t="shared" si="14"/>
        <v>S</v>
      </c>
      <c r="N39" s="12">
        <v>36</v>
      </c>
      <c r="O39" s="12" t="str">
        <f t="shared" si="14"/>
        <v>S</v>
      </c>
      <c r="P39" s="12">
        <v>36</v>
      </c>
      <c r="Q39" s="12" t="str">
        <f t="shared" si="14"/>
        <v>S</v>
      </c>
      <c r="R39" s="12">
        <f t="shared" si="20"/>
        <v>225</v>
      </c>
      <c r="S39" s="12" t="str">
        <f t="shared" ref="S39:S47" si="29">ROUND(R39/6, 0)&amp;"%"</f>
        <v>38%</v>
      </c>
      <c r="T39" s="12">
        <f t="shared" si="22"/>
        <v>0</v>
      </c>
      <c r="U39" s="12">
        <f t="shared" si="23"/>
        <v>0</v>
      </c>
      <c r="V39" s="12">
        <f t="shared" si="24"/>
        <v>4</v>
      </c>
      <c r="W39" s="12">
        <f t="shared" si="25"/>
        <v>1</v>
      </c>
      <c r="X39" s="12">
        <f t="shared" si="26"/>
        <v>0</v>
      </c>
      <c r="Y39" s="19"/>
      <c r="Z39" s="15" t="s">
        <v>6</v>
      </c>
      <c r="AA39" s="12" t="s">
        <v>925</v>
      </c>
      <c r="AB39" s="47"/>
    </row>
    <row r="40" spans="2:28" ht="27" customHeight="1">
      <c r="B40" s="9">
        <v>33</v>
      </c>
      <c r="C40" s="16" t="s">
        <v>1064</v>
      </c>
      <c r="D40" s="12" t="s">
        <v>1065</v>
      </c>
      <c r="E40" s="15" t="s">
        <v>1066</v>
      </c>
      <c r="F40" s="12">
        <v>49</v>
      </c>
      <c r="G40" s="12" t="str">
        <f t="shared" si="14"/>
        <v>S</v>
      </c>
      <c r="H40" s="12">
        <v>59</v>
      </c>
      <c r="I40" s="12" t="str">
        <f t="shared" si="14"/>
        <v>C</v>
      </c>
      <c r="J40" s="12">
        <v>42</v>
      </c>
      <c r="K40" s="12" t="str">
        <f t="shared" si="14"/>
        <v>S</v>
      </c>
      <c r="L40" s="12">
        <v>51</v>
      </c>
      <c r="M40" s="12" t="str">
        <f t="shared" si="14"/>
        <v>S</v>
      </c>
      <c r="N40" s="12">
        <v>51</v>
      </c>
      <c r="O40" s="12" t="str">
        <f t="shared" si="14"/>
        <v>S</v>
      </c>
      <c r="P40" s="12">
        <v>37</v>
      </c>
      <c r="Q40" s="12" t="str">
        <f t="shared" si="14"/>
        <v>S</v>
      </c>
      <c r="R40" s="12">
        <f t="shared" si="20"/>
        <v>289</v>
      </c>
      <c r="S40" s="12" t="str">
        <f t="shared" si="29"/>
        <v>48%</v>
      </c>
      <c r="T40" s="12">
        <f t="shared" si="22"/>
        <v>0</v>
      </c>
      <c r="U40" s="12">
        <f t="shared" si="23"/>
        <v>1</v>
      </c>
      <c r="V40" s="12">
        <f t="shared" si="24"/>
        <v>4</v>
      </c>
      <c r="W40" s="12">
        <f t="shared" si="25"/>
        <v>0</v>
      </c>
      <c r="X40" s="12">
        <f t="shared" si="26"/>
        <v>0</v>
      </c>
      <c r="Y40" s="19"/>
      <c r="Z40" s="15" t="str">
        <f t="shared" ref="Z40:Z47" si="30">IF(X40&gt;0, "Not Completed",
   IF(T40=10, "First Class",
      IF(S40&gt;75, IF(V40&gt;0, "Ordinary Pass", "First Class"),
         IF(S40&gt;65, IF(V40&gt;0, "Ordinary Pass", "Second Class"), "none")
      )
   )
)</f>
        <v>Ordinary Pass</v>
      </c>
      <c r="AA40" s="12"/>
      <c r="AB40" s="47"/>
    </row>
    <row r="41" spans="2:28" ht="27" customHeight="1">
      <c r="B41" s="9">
        <v>34</v>
      </c>
      <c r="C41" s="16" t="s">
        <v>1067</v>
      </c>
      <c r="D41" s="18">
        <v>200175500301</v>
      </c>
      <c r="E41" s="15" t="s">
        <v>1068</v>
      </c>
      <c r="F41" s="12">
        <v>65</v>
      </c>
      <c r="G41" s="12" t="str">
        <f t="shared" si="14"/>
        <v>C</v>
      </c>
      <c r="H41" s="12">
        <v>60</v>
      </c>
      <c r="I41" s="12" t="str">
        <f t="shared" si="14"/>
        <v>C</v>
      </c>
      <c r="J41" s="12">
        <v>42</v>
      </c>
      <c r="K41" s="12" t="str">
        <f t="shared" si="14"/>
        <v>S</v>
      </c>
      <c r="L41" s="12">
        <v>48</v>
      </c>
      <c r="M41" s="12" t="str">
        <f t="shared" si="14"/>
        <v>S</v>
      </c>
      <c r="N41" s="12">
        <v>44</v>
      </c>
      <c r="O41" s="12" t="str">
        <f t="shared" si="14"/>
        <v>S</v>
      </c>
      <c r="P41" s="12">
        <v>41</v>
      </c>
      <c r="Q41" s="12" t="str">
        <f t="shared" si="14"/>
        <v>S</v>
      </c>
      <c r="R41" s="12">
        <f t="shared" si="20"/>
        <v>300</v>
      </c>
      <c r="S41" s="12" t="str">
        <f t="shared" si="29"/>
        <v>50%</v>
      </c>
      <c r="T41" s="12">
        <f t="shared" si="22"/>
        <v>0</v>
      </c>
      <c r="U41" s="12">
        <f t="shared" si="23"/>
        <v>2</v>
      </c>
      <c r="V41" s="12">
        <f t="shared" si="24"/>
        <v>4</v>
      </c>
      <c r="W41" s="12">
        <f t="shared" si="25"/>
        <v>0</v>
      </c>
      <c r="X41" s="12">
        <f t="shared" si="26"/>
        <v>0</v>
      </c>
      <c r="Y41" s="19"/>
      <c r="Z41" s="15" t="str">
        <f t="shared" si="30"/>
        <v>Ordinary Pass</v>
      </c>
      <c r="AA41" s="12"/>
      <c r="AB41" s="47"/>
    </row>
    <row r="42" spans="2:28" ht="27" customHeight="1">
      <c r="B42" s="9">
        <v>35</v>
      </c>
      <c r="C42" s="16" t="s">
        <v>1069</v>
      </c>
      <c r="D42" s="12" t="s">
        <v>1070</v>
      </c>
      <c r="E42" s="15" t="s">
        <v>1071</v>
      </c>
      <c r="F42" s="12">
        <v>54</v>
      </c>
      <c r="G42" s="12" t="str">
        <f t="shared" si="14"/>
        <v>S</v>
      </c>
      <c r="H42" s="12">
        <v>39</v>
      </c>
      <c r="I42" s="12" t="str">
        <f t="shared" si="14"/>
        <v>S</v>
      </c>
      <c r="J42" s="12">
        <v>35</v>
      </c>
      <c r="K42" s="12" t="str">
        <f t="shared" si="14"/>
        <v>S</v>
      </c>
      <c r="L42" s="12">
        <v>35</v>
      </c>
      <c r="M42" s="12" t="str">
        <f t="shared" si="14"/>
        <v>S</v>
      </c>
      <c r="N42" s="12">
        <v>43</v>
      </c>
      <c r="O42" s="12" t="str">
        <f t="shared" si="14"/>
        <v>S</v>
      </c>
      <c r="P42" s="12">
        <v>37</v>
      </c>
      <c r="Q42" s="12" t="str">
        <f t="shared" si="14"/>
        <v>S</v>
      </c>
      <c r="R42" s="12">
        <f t="shared" si="20"/>
        <v>243</v>
      </c>
      <c r="S42" s="12" t="str">
        <f t="shared" si="29"/>
        <v>41%</v>
      </c>
      <c r="T42" s="12">
        <f t="shared" si="22"/>
        <v>0</v>
      </c>
      <c r="U42" s="12">
        <f t="shared" si="23"/>
        <v>0</v>
      </c>
      <c r="V42" s="12">
        <f t="shared" si="24"/>
        <v>5</v>
      </c>
      <c r="W42" s="12">
        <f t="shared" si="25"/>
        <v>0</v>
      </c>
      <c r="X42" s="12">
        <f t="shared" si="26"/>
        <v>0</v>
      </c>
      <c r="Y42" s="19"/>
      <c r="Z42" s="15" t="s">
        <v>9</v>
      </c>
      <c r="AA42" s="12"/>
      <c r="AB42" s="47"/>
    </row>
    <row r="43" spans="2:28" ht="27" customHeight="1">
      <c r="B43" s="9">
        <v>36</v>
      </c>
      <c r="C43" s="16" t="s">
        <v>1072</v>
      </c>
      <c r="D43" s="12" t="s">
        <v>1073</v>
      </c>
      <c r="E43" s="15" t="s">
        <v>1074</v>
      </c>
      <c r="F43" s="12">
        <v>58</v>
      </c>
      <c r="G43" s="12" t="str">
        <f t="shared" si="14"/>
        <v>C</v>
      </c>
      <c r="H43" s="12">
        <v>57</v>
      </c>
      <c r="I43" s="12" t="str">
        <f t="shared" si="14"/>
        <v>C</v>
      </c>
      <c r="J43" s="12">
        <v>46</v>
      </c>
      <c r="K43" s="12" t="str">
        <f t="shared" si="14"/>
        <v>S</v>
      </c>
      <c r="L43" s="12">
        <v>41</v>
      </c>
      <c r="M43" s="12" t="str">
        <f t="shared" si="14"/>
        <v>S</v>
      </c>
      <c r="N43" s="12">
        <v>49</v>
      </c>
      <c r="O43" s="12" t="str">
        <f t="shared" si="14"/>
        <v>S</v>
      </c>
      <c r="P43" s="12">
        <v>57</v>
      </c>
      <c r="Q43" s="12" t="str">
        <f t="shared" si="14"/>
        <v>C</v>
      </c>
      <c r="R43" s="12">
        <f t="shared" si="20"/>
        <v>308</v>
      </c>
      <c r="S43" s="12" t="str">
        <f t="shared" si="29"/>
        <v>51%</v>
      </c>
      <c r="T43" s="12">
        <f t="shared" si="22"/>
        <v>0</v>
      </c>
      <c r="U43" s="12">
        <f t="shared" si="23"/>
        <v>3</v>
      </c>
      <c r="V43" s="12">
        <f t="shared" si="24"/>
        <v>3</v>
      </c>
      <c r="W43" s="12">
        <f t="shared" si="25"/>
        <v>0</v>
      </c>
      <c r="X43" s="12">
        <f t="shared" si="26"/>
        <v>0</v>
      </c>
      <c r="Y43" s="19"/>
      <c r="Z43" s="15" t="str">
        <f t="shared" si="30"/>
        <v>Ordinary Pass</v>
      </c>
      <c r="AA43" s="12"/>
      <c r="AB43" s="47"/>
    </row>
    <row r="44" spans="2:28" ht="27" customHeight="1">
      <c r="B44" s="9">
        <v>37</v>
      </c>
      <c r="C44" s="16" t="s">
        <v>1075</v>
      </c>
      <c r="D44" s="12" t="s">
        <v>1076</v>
      </c>
      <c r="E44" s="15" t="s">
        <v>1077</v>
      </c>
      <c r="F44" s="12">
        <v>34</v>
      </c>
      <c r="G44" s="12" t="str">
        <f t="shared" ref="G44:G47" si="31">IF(F44="-", "AB", IF(F44&gt;=75, "D", IF(F44&gt;=55, "C", IF(F44&gt;=35, "S", IF(F44&gt;=0, "F")))))</f>
        <v>F</v>
      </c>
      <c r="H44" s="12">
        <v>31</v>
      </c>
      <c r="I44" s="12" t="str">
        <f t="shared" ref="I44:I47" si="32">IF(H44="-", "AB", IF(H44&gt;=75, "D", IF(H44&gt;=55, "C", IF(H44&gt;=35, "S", IF(H44&gt;=0, "F")))))</f>
        <v>F</v>
      </c>
      <c r="J44" s="12">
        <v>14</v>
      </c>
      <c r="K44" s="12" t="str">
        <f t="shared" ref="K44:K47" si="33">IF(J44="-", "AB", IF(J44&gt;=75, "D", IF(J44&gt;=55, "C", IF(J44&gt;=35, "S", IF(J44&gt;=0, "F")))))</f>
        <v>F</v>
      </c>
      <c r="L44" s="12">
        <v>20</v>
      </c>
      <c r="M44" s="12" t="str">
        <f t="shared" ref="M44:M47" si="34">IF(L44="-", "AB", IF(L44&gt;=75, "D", IF(L44&gt;=55, "C", IF(L44&gt;=35, "S", IF(L44&gt;=0, "F")))))</f>
        <v>F</v>
      </c>
      <c r="N44" s="12">
        <v>32</v>
      </c>
      <c r="O44" s="12" t="str">
        <f t="shared" ref="O44:O47" si="35">IF(N44="-", "AB", IF(N44&gt;=75, "D", IF(N44&gt;=55, "C", IF(N44&gt;=35, "S", IF(N44&gt;=0, "F")))))</f>
        <v>F</v>
      </c>
      <c r="P44" s="12">
        <v>26</v>
      </c>
      <c r="Q44" s="12" t="str">
        <f t="shared" ref="Q44:Q47" si="36">IF(P44="-", "AB", IF(P44&gt;=75, "D", IF(P44&gt;=55, "C", IF(P44&gt;=35, "S", IF(P44&gt;=0, "F")))))</f>
        <v>F</v>
      </c>
      <c r="R44" s="12">
        <f t="shared" si="20"/>
        <v>157</v>
      </c>
      <c r="S44" s="12" t="str">
        <f t="shared" si="29"/>
        <v>26%</v>
      </c>
      <c r="T44" s="12">
        <f t="shared" si="22"/>
        <v>0</v>
      </c>
      <c r="U44" s="12">
        <f t="shared" si="23"/>
        <v>0</v>
      </c>
      <c r="V44" s="12">
        <f t="shared" si="24"/>
        <v>0</v>
      </c>
      <c r="W44" s="12">
        <f t="shared" si="25"/>
        <v>5</v>
      </c>
      <c r="X44" s="12">
        <f t="shared" si="26"/>
        <v>0</v>
      </c>
      <c r="Y44" s="19"/>
      <c r="Z44" s="15" t="s">
        <v>8</v>
      </c>
      <c r="AA44" s="12"/>
      <c r="AB44" s="47"/>
    </row>
    <row r="45" spans="2:28" ht="27" customHeight="1">
      <c r="B45" s="9">
        <v>38</v>
      </c>
      <c r="C45" s="16" t="s">
        <v>1078</v>
      </c>
      <c r="D45" s="12" t="s">
        <v>1079</v>
      </c>
      <c r="E45" s="15" t="s">
        <v>1080</v>
      </c>
      <c r="F45" s="12">
        <v>29</v>
      </c>
      <c r="G45" s="12" t="str">
        <f t="shared" si="31"/>
        <v>F</v>
      </c>
      <c r="H45" s="12">
        <v>45</v>
      </c>
      <c r="I45" s="12" t="str">
        <f t="shared" si="32"/>
        <v>S</v>
      </c>
      <c r="J45" s="12">
        <v>28</v>
      </c>
      <c r="K45" s="12" t="str">
        <f t="shared" si="33"/>
        <v>F</v>
      </c>
      <c r="L45" s="12">
        <v>35</v>
      </c>
      <c r="M45" s="12" t="str">
        <f t="shared" si="34"/>
        <v>S</v>
      </c>
      <c r="N45" s="12">
        <v>24</v>
      </c>
      <c r="O45" s="12" t="str">
        <f t="shared" si="35"/>
        <v>F</v>
      </c>
      <c r="P45" s="12">
        <v>35</v>
      </c>
      <c r="Q45" s="12" t="str">
        <f t="shared" si="36"/>
        <v>S</v>
      </c>
      <c r="R45" s="12">
        <f t="shared" si="20"/>
        <v>196</v>
      </c>
      <c r="S45" s="12" t="str">
        <f t="shared" si="29"/>
        <v>33%</v>
      </c>
      <c r="T45" s="12">
        <f t="shared" si="22"/>
        <v>0</v>
      </c>
      <c r="U45" s="12">
        <f t="shared" si="23"/>
        <v>0</v>
      </c>
      <c r="V45" s="12">
        <f t="shared" si="24"/>
        <v>3</v>
      </c>
      <c r="W45" s="12">
        <f t="shared" si="25"/>
        <v>2</v>
      </c>
      <c r="X45" s="12">
        <f t="shared" si="26"/>
        <v>0</v>
      </c>
      <c r="Y45" s="19"/>
      <c r="Z45" s="15" t="s">
        <v>8</v>
      </c>
      <c r="AA45" s="12"/>
      <c r="AB45" s="47"/>
    </row>
    <row r="46" spans="2:28" ht="27" customHeight="1">
      <c r="B46" s="9">
        <v>39</v>
      </c>
      <c r="C46" s="16" t="s">
        <v>1081</v>
      </c>
      <c r="D46" s="12" t="s">
        <v>1082</v>
      </c>
      <c r="E46" s="15" t="s">
        <v>1083</v>
      </c>
      <c r="F46" s="12">
        <v>58</v>
      </c>
      <c r="G46" s="12" t="str">
        <f t="shared" si="31"/>
        <v>C</v>
      </c>
      <c r="H46" s="12">
        <v>58</v>
      </c>
      <c r="I46" s="12" t="str">
        <f t="shared" si="32"/>
        <v>C</v>
      </c>
      <c r="J46" s="12">
        <v>66</v>
      </c>
      <c r="K46" s="12" t="str">
        <f t="shared" si="33"/>
        <v>C</v>
      </c>
      <c r="L46" s="12">
        <v>46</v>
      </c>
      <c r="M46" s="12" t="str">
        <f t="shared" si="34"/>
        <v>S</v>
      </c>
      <c r="N46" s="12">
        <v>56</v>
      </c>
      <c r="O46" s="12" t="str">
        <f t="shared" si="35"/>
        <v>C</v>
      </c>
      <c r="P46" s="12">
        <v>37</v>
      </c>
      <c r="Q46" s="12" t="str">
        <f t="shared" si="36"/>
        <v>S</v>
      </c>
      <c r="R46" s="12">
        <f t="shared" si="20"/>
        <v>321</v>
      </c>
      <c r="S46" s="12" t="str">
        <f t="shared" si="29"/>
        <v>54%</v>
      </c>
      <c r="T46" s="12">
        <f t="shared" si="22"/>
        <v>0</v>
      </c>
      <c r="U46" s="12">
        <f t="shared" si="23"/>
        <v>4</v>
      </c>
      <c r="V46" s="12">
        <f t="shared" si="24"/>
        <v>2</v>
      </c>
      <c r="W46" s="12">
        <f t="shared" si="25"/>
        <v>0</v>
      </c>
      <c r="X46" s="12">
        <f t="shared" si="26"/>
        <v>0</v>
      </c>
      <c r="Y46" s="19"/>
      <c r="Z46" s="15" t="str">
        <f t="shared" si="30"/>
        <v>Ordinary Pass</v>
      </c>
      <c r="AA46" s="12"/>
      <c r="AB46" s="47"/>
    </row>
    <row r="47" spans="2:28" ht="27" customHeight="1">
      <c r="B47" s="9">
        <v>40</v>
      </c>
      <c r="C47" s="16" t="s">
        <v>1084</v>
      </c>
      <c r="D47" s="12" t="s">
        <v>1085</v>
      </c>
      <c r="E47" s="15" t="s">
        <v>1086</v>
      </c>
      <c r="F47" s="12">
        <v>52</v>
      </c>
      <c r="G47" s="12" t="str">
        <f t="shared" si="31"/>
        <v>S</v>
      </c>
      <c r="H47" s="12">
        <v>41</v>
      </c>
      <c r="I47" s="12" t="str">
        <f t="shared" si="32"/>
        <v>S</v>
      </c>
      <c r="J47" s="12">
        <v>58</v>
      </c>
      <c r="K47" s="12" t="str">
        <f t="shared" si="33"/>
        <v>C</v>
      </c>
      <c r="L47" s="12">
        <v>50</v>
      </c>
      <c r="M47" s="12" t="str">
        <f t="shared" si="34"/>
        <v>S</v>
      </c>
      <c r="N47" s="12">
        <v>42</v>
      </c>
      <c r="O47" s="12" t="str">
        <f t="shared" si="35"/>
        <v>S</v>
      </c>
      <c r="P47" s="12">
        <v>35</v>
      </c>
      <c r="Q47" s="12" t="str">
        <f t="shared" si="36"/>
        <v>S</v>
      </c>
      <c r="R47" s="12">
        <f t="shared" si="20"/>
        <v>278</v>
      </c>
      <c r="S47" s="12" t="str">
        <f t="shared" si="29"/>
        <v>46%</v>
      </c>
      <c r="T47" s="12">
        <f t="shared" si="22"/>
        <v>0</v>
      </c>
      <c r="U47" s="12">
        <f t="shared" si="23"/>
        <v>1</v>
      </c>
      <c r="V47" s="12">
        <f t="shared" si="24"/>
        <v>4</v>
      </c>
      <c r="W47" s="12">
        <f t="shared" si="25"/>
        <v>0</v>
      </c>
      <c r="X47" s="12">
        <f t="shared" si="26"/>
        <v>0</v>
      </c>
      <c r="Y47" s="19"/>
      <c r="Z47" s="15" t="str">
        <f t="shared" si="30"/>
        <v>Ordinary Pass</v>
      </c>
      <c r="AA47" s="12"/>
      <c r="AB47" s="47"/>
    </row>
    <row r="48" spans="2:28" ht="27" customHeight="1">
      <c r="B48" s="9">
        <v>41</v>
      </c>
      <c r="C48" s="16" t="s">
        <v>1087</v>
      </c>
      <c r="D48" s="12" t="s">
        <v>1088</v>
      </c>
      <c r="E48" s="15" t="s">
        <v>1089</v>
      </c>
      <c r="F48" s="12">
        <v>39</v>
      </c>
      <c r="G48" s="12" t="str">
        <f t="shared" ref="G48:G49" si="37">IF(F48="-", "AB", IF(F48&gt;=75, "D", IF(F48&gt;=55, "C", IF(F48&gt;=35, "S", IF(F48&gt;=0, "F")))))</f>
        <v>S</v>
      </c>
      <c r="H48" s="12">
        <v>58</v>
      </c>
      <c r="I48" s="12" t="str">
        <f t="shared" ref="I48:I67" si="38">IF(H48="-", "AB", IF(H48&gt;=75, "D", IF(H48&gt;=55, "C", IF(H48&gt;=35, "S", IF(H48&gt;=0, "F")))))</f>
        <v>C</v>
      </c>
      <c r="J48" s="12">
        <v>54</v>
      </c>
      <c r="K48" s="12" t="str">
        <f t="shared" ref="K48:K67" si="39">IF(J48="-", "AB", IF(J48&gt;=75, "D", IF(J48&gt;=55, "C", IF(J48&gt;=35, "S", IF(J48&gt;=0, "F")))))</f>
        <v>S</v>
      </c>
      <c r="L48" s="12">
        <v>46</v>
      </c>
      <c r="M48" s="12" t="str">
        <f t="shared" ref="M48:M67" si="40">IF(L48="-", "AB", IF(L48&gt;=75, "D", IF(L48&gt;=55, "C", IF(L48&gt;=35, "S", IF(L48&gt;=0, "F")))))</f>
        <v>S</v>
      </c>
      <c r="N48" s="12">
        <v>46</v>
      </c>
      <c r="O48" s="12" t="str">
        <f t="shared" ref="O48:O67" si="41">IF(N48="-", "AB", IF(N48&gt;=75, "D", IF(N48&gt;=55, "C", IF(N48&gt;=35, "S", IF(N48&gt;=0, "F")))))</f>
        <v>S</v>
      </c>
      <c r="P48" s="12">
        <v>38</v>
      </c>
      <c r="Q48" s="12" t="str">
        <f t="shared" ref="Q48:Q67" si="42">IF(P48="-", "AB", IF(P48&gt;=75, "D", IF(P48&gt;=55, "C", IF(P48&gt;=35, "S", IF(P48&gt;=0, "F")))))</f>
        <v>S</v>
      </c>
      <c r="R48" s="12">
        <f t="shared" ref="R48:R49" si="43">SUM(F48+H48+J48+L48+N48+P48)</f>
        <v>281</v>
      </c>
      <c r="S48" s="12" t="str">
        <f t="shared" ref="S48:S67" si="44">ROUND(R48/6, 0)&amp;"%"</f>
        <v>47%</v>
      </c>
      <c r="T48" s="12">
        <f t="shared" ref="T48:T67" si="45">COUNTIF(F48:Q48, "D")</f>
        <v>0</v>
      </c>
      <c r="U48" s="12">
        <f t="shared" ref="U48:U67" si="46">COUNTIF(G48:T48, "C")</f>
        <v>1</v>
      </c>
      <c r="V48" s="12">
        <f t="shared" ref="V48:V67" si="47">COUNTIF(H48:U48, "S")</f>
        <v>4</v>
      </c>
      <c r="W48" s="12">
        <f t="shared" ref="W48:W67" si="48">COUNTIF(I48:V48, "F")</f>
        <v>0</v>
      </c>
      <c r="X48" s="12">
        <f t="shared" ref="X48:X67" si="49">COUNTIF(F48:W48, "-")</f>
        <v>0</v>
      </c>
      <c r="Y48" s="19"/>
      <c r="Z48" s="15" t="str">
        <f t="shared" ref="Z48:Z49" si="50">IF(X48&gt;0, "Not Completed",
   IF(T48=10, "First Class",
      IF(S48&gt;75, IF(V48&gt;0, "Ordinary Pass", "First Class"),
         IF(S48&gt;65, IF(V48&gt;0, "Ordinary Pass", "Second Class"), "none")
      )
   )
)</f>
        <v>Ordinary Pass</v>
      </c>
      <c r="AA48" s="12"/>
      <c r="AB48" s="47"/>
    </row>
    <row r="49" spans="2:28" ht="27" customHeight="1">
      <c r="B49" s="9">
        <v>42</v>
      </c>
      <c r="C49" s="16" t="s">
        <v>1090</v>
      </c>
      <c r="D49" s="12" t="s">
        <v>1091</v>
      </c>
      <c r="E49" s="15" t="s">
        <v>1092</v>
      </c>
      <c r="F49" s="12">
        <v>56</v>
      </c>
      <c r="G49" s="12" t="str">
        <f t="shared" si="37"/>
        <v>C</v>
      </c>
      <c r="H49" s="12">
        <v>61</v>
      </c>
      <c r="I49" s="12" t="str">
        <f t="shared" si="38"/>
        <v>C</v>
      </c>
      <c r="J49" s="12">
        <v>68</v>
      </c>
      <c r="K49" s="12" t="str">
        <f t="shared" si="39"/>
        <v>C</v>
      </c>
      <c r="L49" s="12">
        <v>61</v>
      </c>
      <c r="M49" s="12" t="str">
        <f t="shared" si="40"/>
        <v>C</v>
      </c>
      <c r="N49" s="12">
        <v>46</v>
      </c>
      <c r="O49" s="12" t="str">
        <f t="shared" si="41"/>
        <v>S</v>
      </c>
      <c r="P49" s="12">
        <v>55</v>
      </c>
      <c r="Q49" s="12" t="str">
        <f t="shared" si="42"/>
        <v>C</v>
      </c>
      <c r="R49" s="12">
        <f t="shared" si="43"/>
        <v>347</v>
      </c>
      <c r="S49" s="12" t="str">
        <f t="shared" si="44"/>
        <v>58%</v>
      </c>
      <c r="T49" s="12">
        <f t="shared" si="45"/>
        <v>0</v>
      </c>
      <c r="U49" s="12">
        <f t="shared" si="46"/>
        <v>5</v>
      </c>
      <c r="V49" s="12">
        <f t="shared" si="47"/>
        <v>1</v>
      </c>
      <c r="W49" s="12">
        <f t="shared" si="48"/>
        <v>0</v>
      </c>
      <c r="X49" s="12">
        <f t="shared" si="49"/>
        <v>0</v>
      </c>
      <c r="Y49" s="19"/>
      <c r="Z49" s="15" t="str">
        <f t="shared" si="50"/>
        <v>Ordinary Pass</v>
      </c>
      <c r="AA49" s="12"/>
      <c r="AB49" s="47"/>
    </row>
    <row r="50" spans="2:28" ht="27" customHeight="1">
      <c r="B50" s="9">
        <v>43</v>
      </c>
      <c r="C50" s="16" t="s">
        <v>17</v>
      </c>
      <c r="D50" s="17" t="s">
        <v>18</v>
      </c>
      <c r="E50" s="15" t="s">
        <v>19</v>
      </c>
      <c r="F50" s="1">
        <v>36</v>
      </c>
      <c r="G50" s="12" t="str">
        <f>IF(F50="-", "AB", IF(F50&gt;=75, "D", IF(F50&gt;=55, "C", IF(F50&gt;=35, "S", IF(F50&gt;=0, "F")))))</f>
        <v>S</v>
      </c>
      <c r="H50" s="12">
        <v>39</v>
      </c>
      <c r="I50" s="12" t="str">
        <f t="shared" si="38"/>
        <v>S</v>
      </c>
      <c r="J50" s="12">
        <v>61</v>
      </c>
      <c r="K50" s="12" t="str">
        <f t="shared" si="39"/>
        <v>C</v>
      </c>
      <c r="L50" s="12">
        <v>40</v>
      </c>
      <c r="M50" s="12" t="str">
        <f t="shared" si="40"/>
        <v>S</v>
      </c>
      <c r="N50" s="12">
        <v>52</v>
      </c>
      <c r="O50" s="12" t="str">
        <f t="shared" si="41"/>
        <v>S</v>
      </c>
      <c r="P50" s="12">
        <v>41</v>
      </c>
      <c r="Q50" s="12" t="str">
        <f t="shared" si="42"/>
        <v>S</v>
      </c>
      <c r="R50" s="12">
        <f>SUM(F50+H50+J50+L50+N50+P50)</f>
        <v>269</v>
      </c>
      <c r="S50" s="12" t="str">
        <f t="shared" si="44"/>
        <v>45%</v>
      </c>
      <c r="T50" s="12">
        <f t="shared" si="45"/>
        <v>0</v>
      </c>
      <c r="U50" s="12">
        <f t="shared" si="46"/>
        <v>1</v>
      </c>
      <c r="V50" s="12">
        <f t="shared" si="47"/>
        <v>4</v>
      </c>
      <c r="W50" s="12">
        <f t="shared" si="48"/>
        <v>0</v>
      </c>
      <c r="X50" s="12">
        <f t="shared" si="49"/>
        <v>0</v>
      </c>
      <c r="Y50" s="19"/>
      <c r="Z50" s="15" t="str">
        <f>IF(X50&gt;0, "Not Completed",
   IF(T50=10, "First Class",
      IF(S50&gt;75, IF(V50&gt;0, "Ordinary Pass", "First Class"),
         IF(S50&gt;65, IF(V50&gt;0, "Ordinary Pass", "Second Class"), "none")
      )
   )
)</f>
        <v>Ordinary Pass</v>
      </c>
      <c r="AA50" s="12"/>
      <c r="AB50" s="47"/>
    </row>
    <row r="51" spans="2:28" ht="27" customHeight="1">
      <c r="B51" s="9">
        <v>44</v>
      </c>
      <c r="C51" s="16" t="s">
        <v>20</v>
      </c>
      <c r="D51" s="18" t="s">
        <v>21</v>
      </c>
      <c r="E51" s="15" t="s">
        <v>22</v>
      </c>
      <c r="F51" s="12">
        <v>56</v>
      </c>
      <c r="G51" s="12" t="str">
        <f t="shared" ref="G51:G65" si="51">IF(F51="-", "AB", IF(F51&gt;=75, "D", IF(F51&gt;=55, "C", IF(F51&gt;=35, "S", IF(F51&gt;=0, "F")))))</f>
        <v>C</v>
      </c>
      <c r="H51" s="12">
        <v>63</v>
      </c>
      <c r="I51" s="12" t="str">
        <f t="shared" si="38"/>
        <v>C</v>
      </c>
      <c r="J51" s="12">
        <v>45</v>
      </c>
      <c r="K51" s="12" t="str">
        <f t="shared" si="39"/>
        <v>S</v>
      </c>
      <c r="L51" s="12">
        <v>52</v>
      </c>
      <c r="M51" s="12" t="str">
        <f t="shared" si="40"/>
        <v>S</v>
      </c>
      <c r="N51" s="12">
        <v>60</v>
      </c>
      <c r="O51" s="12" t="str">
        <f t="shared" si="41"/>
        <v>C</v>
      </c>
      <c r="P51" s="12">
        <v>41</v>
      </c>
      <c r="Q51" s="12" t="str">
        <f t="shared" si="42"/>
        <v>S</v>
      </c>
      <c r="R51" s="12">
        <f t="shared" ref="R51:R65" si="52">SUM(F51+H51+J51+L51+N51+P51)</f>
        <v>317</v>
      </c>
      <c r="S51" s="12" t="str">
        <f t="shared" si="44"/>
        <v>53%</v>
      </c>
      <c r="T51" s="12">
        <f t="shared" si="45"/>
        <v>0</v>
      </c>
      <c r="U51" s="12">
        <f t="shared" si="46"/>
        <v>3</v>
      </c>
      <c r="V51" s="12">
        <f t="shared" si="47"/>
        <v>3</v>
      </c>
      <c r="W51" s="12">
        <f t="shared" si="48"/>
        <v>0</v>
      </c>
      <c r="X51" s="12">
        <f t="shared" si="49"/>
        <v>0</v>
      </c>
      <c r="Y51" s="19"/>
      <c r="Z51" s="15" t="str">
        <f t="shared" ref="Z51:Z55" si="53">IF(X51&gt;0, "Not Completed",
   IF(T51=10, "First Class",
      IF(S51&gt;75, IF(V51&gt;0, "Ordinary Pass", "First Class"),
         IF(S51&gt;65, IF(V51&gt;0, "Ordinary Pass", "Second Class"), "none")
      )
   )
)</f>
        <v>Ordinary Pass</v>
      </c>
      <c r="AA51" s="12"/>
      <c r="AB51" s="47"/>
    </row>
    <row r="52" spans="2:28" ht="27" customHeight="1">
      <c r="B52" s="9">
        <v>45</v>
      </c>
      <c r="C52" s="16" t="s">
        <v>23</v>
      </c>
      <c r="D52" s="18" t="s">
        <v>24</v>
      </c>
      <c r="E52" s="15" t="s">
        <v>25</v>
      </c>
      <c r="F52" s="12">
        <v>47</v>
      </c>
      <c r="G52" s="12" t="str">
        <f t="shared" si="51"/>
        <v>S</v>
      </c>
      <c r="H52" s="12">
        <v>53</v>
      </c>
      <c r="I52" s="12" t="str">
        <f t="shared" si="38"/>
        <v>S</v>
      </c>
      <c r="J52" s="12">
        <v>78</v>
      </c>
      <c r="K52" s="12" t="str">
        <f t="shared" si="39"/>
        <v>D</v>
      </c>
      <c r="L52" s="12">
        <v>60</v>
      </c>
      <c r="M52" s="12" t="str">
        <f t="shared" si="40"/>
        <v>C</v>
      </c>
      <c r="N52" s="12">
        <v>54</v>
      </c>
      <c r="O52" s="12" t="str">
        <f t="shared" si="41"/>
        <v>S</v>
      </c>
      <c r="P52" s="12">
        <v>75</v>
      </c>
      <c r="Q52" s="12" t="str">
        <f t="shared" si="42"/>
        <v>D</v>
      </c>
      <c r="R52" s="12">
        <f t="shared" si="52"/>
        <v>367</v>
      </c>
      <c r="S52" s="12" t="str">
        <f t="shared" si="44"/>
        <v>61%</v>
      </c>
      <c r="T52" s="12">
        <f t="shared" si="45"/>
        <v>2</v>
      </c>
      <c r="U52" s="12">
        <f t="shared" si="46"/>
        <v>1</v>
      </c>
      <c r="V52" s="12">
        <f t="shared" si="47"/>
        <v>2</v>
      </c>
      <c r="W52" s="12">
        <f t="shared" si="48"/>
        <v>0</v>
      </c>
      <c r="X52" s="12">
        <f t="shared" si="49"/>
        <v>0</v>
      </c>
      <c r="Y52" s="19"/>
      <c r="Z52" s="15" t="str">
        <f t="shared" si="53"/>
        <v>Ordinary Pass</v>
      </c>
      <c r="AA52" s="12"/>
      <c r="AB52" s="47"/>
    </row>
    <row r="53" spans="2:28" ht="27" customHeight="1">
      <c r="B53" s="9">
        <v>46</v>
      </c>
      <c r="C53" s="16" t="s">
        <v>26</v>
      </c>
      <c r="D53" s="18">
        <v>197458001838</v>
      </c>
      <c r="E53" s="15" t="s">
        <v>27</v>
      </c>
      <c r="F53" s="12">
        <v>34</v>
      </c>
      <c r="G53" s="12" t="str">
        <f t="shared" si="51"/>
        <v>F</v>
      </c>
      <c r="H53" s="12">
        <v>39</v>
      </c>
      <c r="I53" s="12" t="str">
        <f t="shared" si="38"/>
        <v>S</v>
      </c>
      <c r="J53" s="12">
        <v>32</v>
      </c>
      <c r="K53" s="12" t="str">
        <f t="shared" si="39"/>
        <v>F</v>
      </c>
      <c r="L53" s="12">
        <v>35</v>
      </c>
      <c r="M53" s="12" t="str">
        <f t="shared" si="40"/>
        <v>S</v>
      </c>
      <c r="N53" s="12">
        <v>57</v>
      </c>
      <c r="O53" s="12" t="str">
        <f t="shared" si="41"/>
        <v>C</v>
      </c>
      <c r="P53" s="12">
        <v>47</v>
      </c>
      <c r="Q53" s="12" t="str">
        <f t="shared" si="42"/>
        <v>S</v>
      </c>
      <c r="R53" s="12">
        <f t="shared" si="52"/>
        <v>244</v>
      </c>
      <c r="S53" s="12" t="str">
        <f t="shared" si="44"/>
        <v>41%</v>
      </c>
      <c r="T53" s="12">
        <f t="shared" si="45"/>
        <v>0</v>
      </c>
      <c r="U53" s="12">
        <f t="shared" si="46"/>
        <v>1</v>
      </c>
      <c r="V53" s="12">
        <f t="shared" si="47"/>
        <v>3</v>
      </c>
      <c r="W53" s="12">
        <f t="shared" si="48"/>
        <v>1</v>
      </c>
      <c r="X53" s="12">
        <f t="shared" si="49"/>
        <v>0</v>
      </c>
      <c r="Y53" s="19"/>
      <c r="Z53" s="15" t="s">
        <v>6</v>
      </c>
      <c r="AA53" s="12" t="s">
        <v>28</v>
      </c>
      <c r="AB53" s="47"/>
    </row>
    <row r="54" spans="2:28" ht="27" customHeight="1">
      <c r="B54" s="9">
        <v>47</v>
      </c>
      <c r="C54" s="16" t="s">
        <v>29</v>
      </c>
      <c r="D54" s="18" t="s">
        <v>30</v>
      </c>
      <c r="E54" s="15" t="s">
        <v>31</v>
      </c>
      <c r="F54" s="12">
        <v>44</v>
      </c>
      <c r="G54" s="12" t="str">
        <f t="shared" si="51"/>
        <v>S</v>
      </c>
      <c r="H54" s="12">
        <v>55</v>
      </c>
      <c r="I54" s="12" t="str">
        <f t="shared" si="38"/>
        <v>C</v>
      </c>
      <c r="J54" s="12">
        <v>80</v>
      </c>
      <c r="K54" s="12" t="str">
        <f t="shared" si="39"/>
        <v>D</v>
      </c>
      <c r="L54" s="12">
        <v>40</v>
      </c>
      <c r="M54" s="12" t="str">
        <f t="shared" si="40"/>
        <v>S</v>
      </c>
      <c r="N54" s="12">
        <v>51</v>
      </c>
      <c r="O54" s="12" t="str">
        <f t="shared" si="41"/>
        <v>S</v>
      </c>
      <c r="P54" s="12">
        <v>47</v>
      </c>
      <c r="Q54" s="12" t="str">
        <f t="shared" si="42"/>
        <v>S</v>
      </c>
      <c r="R54" s="12">
        <f t="shared" si="52"/>
        <v>317</v>
      </c>
      <c r="S54" s="12" t="str">
        <f t="shared" si="44"/>
        <v>53%</v>
      </c>
      <c r="T54" s="12">
        <f t="shared" si="45"/>
        <v>1</v>
      </c>
      <c r="U54" s="12">
        <f t="shared" si="46"/>
        <v>1</v>
      </c>
      <c r="V54" s="12">
        <f t="shared" si="47"/>
        <v>3</v>
      </c>
      <c r="W54" s="12">
        <f t="shared" si="48"/>
        <v>0</v>
      </c>
      <c r="X54" s="12">
        <f t="shared" si="49"/>
        <v>0</v>
      </c>
      <c r="Y54" s="19"/>
      <c r="Z54" s="15" t="str">
        <f t="shared" si="53"/>
        <v>Ordinary Pass</v>
      </c>
      <c r="AA54" s="12"/>
      <c r="AB54" s="47"/>
    </row>
    <row r="55" spans="2:28" ht="27" customHeight="1">
      <c r="B55" s="9">
        <v>48</v>
      </c>
      <c r="C55" s="16" t="s">
        <v>32</v>
      </c>
      <c r="D55" s="18">
        <v>200059202408</v>
      </c>
      <c r="E55" s="15" t="s">
        <v>33</v>
      </c>
      <c r="F55" s="12">
        <v>75</v>
      </c>
      <c r="G55" s="12" t="str">
        <f t="shared" si="51"/>
        <v>D</v>
      </c>
      <c r="H55" s="12">
        <v>85</v>
      </c>
      <c r="I55" s="12" t="str">
        <f t="shared" si="38"/>
        <v>D</v>
      </c>
      <c r="J55" s="12">
        <v>89</v>
      </c>
      <c r="K55" s="12" t="str">
        <f t="shared" si="39"/>
        <v>D</v>
      </c>
      <c r="L55" s="12">
        <v>69</v>
      </c>
      <c r="M55" s="12" t="str">
        <f t="shared" si="40"/>
        <v>C</v>
      </c>
      <c r="N55" s="12">
        <v>73</v>
      </c>
      <c r="O55" s="12" t="str">
        <f t="shared" si="41"/>
        <v>C</v>
      </c>
      <c r="P55" s="12">
        <v>71</v>
      </c>
      <c r="Q55" s="12" t="str">
        <f t="shared" si="42"/>
        <v>C</v>
      </c>
      <c r="R55" s="12">
        <f t="shared" si="52"/>
        <v>462</v>
      </c>
      <c r="S55" s="12" t="str">
        <f t="shared" si="44"/>
        <v>77%</v>
      </c>
      <c r="T55" s="12">
        <f t="shared" si="45"/>
        <v>3</v>
      </c>
      <c r="U55" s="12">
        <f t="shared" si="46"/>
        <v>3</v>
      </c>
      <c r="V55" s="12">
        <f t="shared" si="47"/>
        <v>0</v>
      </c>
      <c r="W55" s="12">
        <f t="shared" si="48"/>
        <v>0</v>
      </c>
      <c r="X55" s="12">
        <f t="shared" si="49"/>
        <v>0</v>
      </c>
      <c r="Y55" s="19"/>
      <c r="Z55" s="15" t="str">
        <f t="shared" si="53"/>
        <v>First Class</v>
      </c>
      <c r="AA55" s="12"/>
      <c r="AB55" s="47"/>
    </row>
    <row r="56" spans="2:28" ht="27" customHeight="1">
      <c r="B56" s="9">
        <v>49</v>
      </c>
      <c r="C56" s="16" t="s">
        <v>34</v>
      </c>
      <c r="D56" s="18">
        <v>198854700084</v>
      </c>
      <c r="E56" s="15" t="s">
        <v>35</v>
      </c>
      <c r="F56" s="12">
        <v>58</v>
      </c>
      <c r="G56" s="12" t="str">
        <f t="shared" si="51"/>
        <v>C</v>
      </c>
      <c r="H56" s="12">
        <v>61</v>
      </c>
      <c r="I56" s="12" t="str">
        <f t="shared" si="38"/>
        <v>C</v>
      </c>
      <c r="J56" s="12">
        <v>90</v>
      </c>
      <c r="K56" s="12" t="str">
        <f t="shared" si="39"/>
        <v>D</v>
      </c>
      <c r="L56" s="12">
        <v>52</v>
      </c>
      <c r="M56" s="12" t="str">
        <f t="shared" si="40"/>
        <v>S</v>
      </c>
      <c r="N56" s="12">
        <v>48</v>
      </c>
      <c r="O56" s="12" t="str">
        <f t="shared" si="41"/>
        <v>S</v>
      </c>
      <c r="P56" s="12">
        <v>71</v>
      </c>
      <c r="Q56" s="12" t="str">
        <f t="shared" si="42"/>
        <v>C</v>
      </c>
      <c r="R56" s="12">
        <f t="shared" si="52"/>
        <v>380</v>
      </c>
      <c r="S56" s="12" t="str">
        <f t="shared" si="44"/>
        <v>63%</v>
      </c>
      <c r="T56" s="12">
        <f t="shared" si="45"/>
        <v>1</v>
      </c>
      <c r="U56" s="12">
        <f t="shared" si="46"/>
        <v>3</v>
      </c>
      <c r="V56" s="12">
        <f t="shared" si="47"/>
        <v>2</v>
      </c>
      <c r="W56" s="12">
        <f t="shared" si="48"/>
        <v>0</v>
      </c>
      <c r="X56" s="12">
        <f t="shared" si="49"/>
        <v>0</v>
      </c>
      <c r="Y56" s="19"/>
      <c r="Z56" s="15" t="s">
        <v>9</v>
      </c>
      <c r="AA56" s="12"/>
      <c r="AB56" s="47"/>
    </row>
    <row r="57" spans="2:28" ht="27" customHeight="1">
      <c r="B57" s="9">
        <v>50</v>
      </c>
      <c r="C57" s="16" t="s">
        <v>36</v>
      </c>
      <c r="D57" s="18" t="s">
        <v>37</v>
      </c>
      <c r="E57" s="15" t="s">
        <v>38</v>
      </c>
      <c r="F57" s="12">
        <v>37</v>
      </c>
      <c r="G57" s="12" t="str">
        <f t="shared" si="51"/>
        <v>S</v>
      </c>
      <c r="H57" s="12">
        <v>35</v>
      </c>
      <c r="I57" s="12" t="str">
        <f t="shared" si="38"/>
        <v>S</v>
      </c>
      <c r="J57" s="12">
        <v>18</v>
      </c>
      <c r="K57" s="12" t="str">
        <f t="shared" si="39"/>
        <v>F</v>
      </c>
      <c r="L57" s="12">
        <v>29</v>
      </c>
      <c r="M57" s="12" t="str">
        <f t="shared" si="40"/>
        <v>F</v>
      </c>
      <c r="N57" s="12">
        <v>39</v>
      </c>
      <c r="O57" s="12" t="str">
        <f t="shared" si="41"/>
        <v>S</v>
      </c>
      <c r="P57" s="12">
        <v>36</v>
      </c>
      <c r="Q57" s="12" t="str">
        <f t="shared" si="42"/>
        <v>S</v>
      </c>
      <c r="R57" s="12">
        <f t="shared" si="52"/>
        <v>194</v>
      </c>
      <c r="S57" s="12" t="str">
        <f t="shared" si="44"/>
        <v>32%</v>
      </c>
      <c r="T57" s="12">
        <f t="shared" si="45"/>
        <v>0</v>
      </c>
      <c r="U57" s="12">
        <f t="shared" si="46"/>
        <v>0</v>
      </c>
      <c r="V57" s="12">
        <f t="shared" si="47"/>
        <v>3</v>
      </c>
      <c r="W57" s="12">
        <f t="shared" si="48"/>
        <v>2</v>
      </c>
      <c r="X57" s="12">
        <f t="shared" si="49"/>
        <v>0</v>
      </c>
      <c r="Y57" s="19"/>
      <c r="Z57" s="15" t="s">
        <v>6</v>
      </c>
      <c r="AA57" s="12" t="s">
        <v>915</v>
      </c>
      <c r="AB57" s="47"/>
    </row>
    <row r="58" spans="2:28" ht="27" customHeight="1">
      <c r="B58" s="9">
        <v>51</v>
      </c>
      <c r="C58" s="16" t="s">
        <v>39</v>
      </c>
      <c r="D58" s="18" t="s">
        <v>40</v>
      </c>
      <c r="E58" s="15" t="s">
        <v>41</v>
      </c>
      <c r="F58" s="12">
        <v>41</v>
      </c>
      <c r="G58" s="12" t="str">
        <f t="shared" si="51"/>
        <v>S</v>
      </c>
      <c r="H58" s="12">
        <v>45</v>
      </c>
      <c r="I58" s="12" t="str">
        <f t="shared" si="38"/>
        <v>S</v>
      </c>
      <c r="J58" s="12">
        <v>45</v>
      </c>
      <c r="K58" s="12" t="str">
        <f t="shared" si="39"/>
        <v>S</v>
      </c>
      <c r="L58" s="12">
        <v>34</v>
      </c>
      <c r="M58" s="12" t="str">
        <f t="shared" si="40"/>
        <v>F</v>
      </c>
      <c r="N58" s="12">
        <v>26</v>
      </c>
      <c r="O58" s="12" t="str">
        <f t="shared" si="41"/>
        <v>F</v>
      </c>
      <c r="P58" s="12">
        <v>45</v>
      </c>
      <c r="Q58" s="12" t="str">
        <f t="shared" si="42"/>
        <v>S</v>
      </c>
      <c r="R58" s="12">
        <f t="shared" si="52"/>
        <v>236</v>
      </c>
      <c r="S58" s="12" t="str">
        <f t="shared" si="44"/>
        <v>39%</v>
      </c>
      <c r="T58" s="12">
        <f t="shared" si="45"/>
        <v>0</v>
      </c>
      <c r="U58" s="12">
        <f t="shared" si="46"/>
        <v>0</v>
      </c>
      <c r="V58" s="12">
        <f t="shared" si="47"/>
        <v>3</v>
      </c>
      <c r="W58" s="12">
        <f t="shared" si="48"/>
        <v>2</v>
      </c>
      <c r="X58" s="12">
        <f t="shared" si="49"/>
        <v>0</v>
      </c>
      <c r="Y58" s="19"/>
      <c r="Z58" s="15" t="s">
        <v>6</v>
      </c>
      <c r="AA58" s="12" t="s">
        <v>42</v>
      </c>
      <c r="AB58" s="47"/>
    </row>
    <row r="59" spans="2:28" ht="27" customHeight="1">
      <c r="B59" s="9">
        <v>52</v>
      </c>
      <c r="C59" s="16" t="s">
        <v>43</v>
      </c>
      <c r="D59" s="18" t="s">
        <v>44</v>
      </c>
      <c r="E59" s="15" t="s">
        <v>45</v>
      </c>
      <c r="F59" s="12">
        <v>59</v>
      </c>
      <c r="G59" s="12" t="str">
        <f t="shared" si="51"/>
        <v>C</v>
      </c>
      <c r="H59" s="12">
        <v>81</v>
      </c>
      <c r="I59" s="12" t="str">
        <f t="shared" si="38"/>
        <v>D</v>
      </c>
      <c r="J59" s="12">
        <v>87</v>
      </c>
      <c r="K59" s="12" t="str">
        <f t="shared" si="39"/>
        <v>D</v>
      </c>
      <c r="L59" s="12">
        <v>56</v>
      </c>
      <c r="M59" s="12" t="str">
        <f t="shared" si="40"/>
        <v>C</v>
      </c>
      <c r="N59" s="12">
        <v>66</v>
      </c>
      <c r="O59" s="12" t="str">
        <f t="shared" si="41"/>
        <v>C</v>
      </c>
      <c r="P59" s="12">
        <v>50</v>
      </c>
      <c r="Q59" s="12" t="str">
        <f t="shared" si="42"/>
        <v>S</v>
      </c>
      <c r="R59" s="12">
        <f t="shared" si="52"/>
        <v>399</v>
      </c>
      <c r="S59" s="12" t="str">
        <f t="shared" si="44"/>
        <v>67%</v>
      </c>
      <c r="T59" s="12">
        <f t="shared" si="45"/>
        <v>2</v>
      </c>
      <c r="U59" s="12">
        <f t="shared" si="46"/>
        <v>3</v>
      </c>
      <c r="V59" s="12">
        <f t="shared" si="47"/>
        <v>1</v>
      </c>
      <c r="W59" s="12">
        <f t="shared" si="48"/>
        <v>0</v>
      </c>
      <c r="X59" s="12">
        <f t="shared" si="49"/>
        <v>0</v>
      </c>
      <c r="Y59" s="19"/>
      <c r="Z59" s="15" t="s">
        <v>9</v>
      </c>
      <c r="AA59" s="12"/>
      <c r="AB59" s="47"/>
    </row>
    <row r="60" spans="2:28" ht="27" customHeight="1">
      <c r="B60" s="9">
        <v>53</v>
      </c>
      <c r="C60" s="16" t="s">
        <v>46</v>
      </c>
      <c r="D60" s="18" t="s">
        <v>47</v>
      </c>
      <c r="E60" s="15" t="s">
        <v>48</v>
      </c>
      <c r="F60" s="12">
        <v>36</v>
      </c>
      <c r="G60" s="12" t="str">
        <f t="shared" si="51"/>
        <v>S</v>
      </c>
      <c r="H60" s="12">
        <v>46</v>
      </c>
      <c r="I60" s="12" t="str">
        <f t="shared" si="38"/>
        <v>S</v>
      </c>
      <c r="J60" s="12">
        <v>62</v>
      </c>
      <c r="K60" s="12" t="str">
        <f t="shared" si="39"/>
        <v>C</v>
      </c>
      <c r="L60" s="12">
        <v>27</v>
      </c>
      <c r="M60" s="12" t="str">
        <f t="shared" si="40"/>
        <v>F</v>
      </c>
      <c r="N60" s="12">
        <v>65</v>
      </c>
      <c r="O60" s="12" t="str">
        <f t="shared" si="41"/>
        <v>C</v>
      </c>
      <c r="P60" s="12">
        <v>42</v>
      </c>
      <c r="Q60" s="12" t="str">
        <f t="shared" si="42"/>
        <v>S</v>
      </c>
      <c r="R60" s="12">
        <f t="shared" si="52"/>
        <v>278</v>
      </c>
      <c r="S60" s="12" t="str">
        <f t="shared" si="44"/>
        <v>46%</v>
      </c>
      <c r="T60" s="12">
        <f t="shared" si="45"/>
        <v>0</v>
      </c>
      <c r="U60" s="12">
        <f t="shared" si="46"/>
        <v>2</v>
      </c>
      <c r="V60" s="12">
        <f t="shared" si="47"/>
        <v>2</v>
      </c>
      <c r="W60" s="12">
        <f t="shared" si="48"/>
        <v>1</v>
      </c>
      <c r="X60" s="12">
        <f t="shared" si="49"/>
        <v>0</v>
      </c>
      <c r="Y60" s="19"/>
      <c r="Z60" s="15" t="s">
        <v>6</v>
      </c>
      <c r="AA60" s="12" t="s">
        <v>49</v>
      </c>
      <c r="AB60" s="47"/>
    </row>
    <row r="61" spans="2:28" ht="27" customHeight="1">
      <c r="B61" s="9">
        <v>54</v>
      </c>
      <c r="C61" s="16" t="s">
        <v>50</v>
      </c>
      <c r="D61" s="18" t="s">
        <v>51</v>
      </c>
      <c r="E61" s="15" t="s">
        <v>52</v>
      </c>
      <c r="F61" s="12">
        <v>51</v>
      </c>
      <c r="G61" s="12" t="str">
        <f t="shared" si="51"/>
        <v>S</v>
      </c>
      <c r="H61" s="12">
        <v>49</v>
      </c>
      <c r="I61" s="12" t="str">
        <f t="shared" si="38"/>
        <v>S</v>
      </c>
      <c r="J61" s="12">
        <v>54</v>
      </c>
      <c r="K61" s="12" t="str">
        <f t="shared" si="39"/>
        <v>S</v>
      </c>
      <c r="L61" s="12">
        <v>35</v>
      </c>
      <c r="M61" s="12" t="str">
        <f t="shared" si="40"/>
        <v>S</v>
      </c>
      <c r="N61" s="12">
        <v>42</v>
      </c>
      <c r="O61" s="12" t="str">
        <f t="shared" si="41"/>
        <v>S</v>
      </c>
      <c r="P61" s="12">
        <v>56</v>
      </c>
      <c r="Q61" s="12" t="str">
        <f t="shared" si="42"/>
        <v>C</v>
      </c>
      <c r="R61" s="12">
        <f t="shared" si="52"/>
        <v>287</v>
      </c>
      <c r="S61" s="12" t="str">
        <f t="shared" si="44"/>
        <v>48%</v>
      </c>
      <c r="T61" s="12">
        <f t="shared" si="45"/>
        <v>0</v>
      </c>
      <c r="U61" s="12">
        <f t="shared" si="46"/>
        <v>1</v>
      </c>
      <c r="V61" s="12">
        <f t="shared" si="47"/>
        <v>4</v>
      </c>
      <c r="W61" s="12">
        <f t="shared" si="48"/>
        <v>0</v>
      </c>
      <c r="X61" s="12">
        <f t="shared" si="49"/>
        <v>0</v>
      </c>
      <c r="Y61" s="19"/>
      <c r="Z61" s="15" t="s">
        <v>9</v>
      </c>
      <c r="AA61" s="12"/>
      <c r="AB61" s="47"/>
    </row>
    <row r="62" spans="2:28" ht="27" customHeight="1">
      <c r="B62" s="9">
        <v>55</v>
      </c>
      <c r="C62" s="16" t="s">
        <v>53</v>
      </c>
      <c r="D62" s="18" t="s">
        <v>54</v>
      </c>
      <c r="E62" s="15" t="s">
        <v>55</v>
      </c>
      <c r="F62" s="12">
        <v>41</v>
      </c>
      <c r="G62" s="12" t="str">
        <f t="shared" si="51"/>
        <v>S</v>
      </c>
      <c r="H62" s="12">
        <v>63</v>
      </c>
      <c r="I62" s="12" t="str">
        <f t="shared" si="38"/>
        <v>C</v>
      </c>
      <c r="J62" s="12">
        <v>60</v>
      </c>
      <c r="K62" s="12" t="str">
        <f t="shared" si="39"/>
        <v>C</v>
      </c>
      <c r="L62" s="12">
        <v>35</v>
      </c>
      <c r="M62" s="12" t="str">
        <f t="shared" si="40"/>
        <v>S</v>
      </c>
      <c r="N62" s="12">
        <v>48</v>
      </c>
      <c r="O62" s="12" t="str">
        <f t="shared" si="41"/>
        <v>S</v>
      </c>
      <c r="P62" s="12">
        <v>61</v>
      </c>
      <c r="Q62" s="12" t="str">
        <f t="shared" si="42"/>
        <v>C</v>
      </c>
      <c r="R62" s="12">
        <f t="shared" si="52"/>
        <v>308</v>
      </c>
      <c r="S62" s="12" t="str">
        <f t="shared" si="44"/>
        <v>51%</v>
      </c>
      <c r="T62" s="12">
        <f t="shared" si="45"/>
        <v>0</v>
      </c>
      <c r="U62" s="12">
        <f t="shared" si="46"/>
        <v>3</v>
      </c>
      <c r="V62" s="12">
        <f t="shared" si="47"/>
        <v>2</v>
      </c>
      <c r="W62" s="12">
        <f t="shared" si="48"/>
        <v>0</v>
      </c>
      <c r="X62" s="12">
        <f t="shared" si="49"/>
        <v>0</v>
      </c>
      <c r="Y62" s="19"/>
      <c r="Z62" s="15" t="s">
        <v>9</v>
      </c>
      <c r="AA62" s="12"/>
      <c r="AB62" s="47"/>
    </row>
    <row r="63" spans="2:28" ht="27" customHeight="1">
      <c r="B63" s="9">
        <v>56</v>
      </c>
      <c r="C63" s="16" t="s">
        <v>56</v>
      </c>
      <c r="D63" s="18" t="s">
        <v>57</v>
      </c>
      <c r="E63" s="15" t="s">
        <v>58</v>
      </c>
      <c r="F63" s="12">
        <v>17</v>
      </c>
      <c r="G63" s="12" t="str">
        <f t="shared" si="51"/>
        <v>F</v>
      </c>
      <c r="H63" s="12">
        <v>32</v>
      </c>
      <c r="I63" s="12" t="str">
        <f t="shared" si="38"/>
        <v>F</v>
      </c>
      <c r="J63" s="12">
        <v>43</v>
      </c>
      <c r="K63" s="12" t="str">
        <f t="shared" si="39"/>
        <v>S</v>
      </c>
      <c r="L63" s="12">
        <v>15</v>
      </c>
      <c r="M63" s="12" t="str">
        <f t="shared" si="40"/>
        <v>F</v>
      </c>
      <c r="N63" s="12">
        <v>28</v>
      </c>
      <c r="O63" s="12" t="str">
        <f t="shared" si="41"/>
        <v>F</v>
      </c>
      <c r="P63" s="12">
        <v>35</v>
      </c>
      <c r="Q63" s="12" t="str">
        <f t="shared" si="42"/>
        <v>S</v>
      </c>
      <c r="R63" s="12">
        <f t="shared" si="52"/>
        <v>170</v>
      </c>
      <c r="S63" s="12" t="str">
        <f t="shared" si="44"/>
        <v>28%</v>
      </c>
      <c r="T63" s="12">
        <f t="shared" si="45"/>
        <v>0</v>
      </c>
      <c r="U63" s="12">
        <f t="shared" si="46"/>
        <v>0</v>
      </c>
      <c r="V63" s="12">
        <f t="shared" si="47"/>
        <v>2</v>
      </c>
      <c r="W63" s="12">
        <f t="shared" si="48"/>
        <v>3</v>
      </c>
      <c r="X63" s="12">
        <f t="shared" si="49"/>
        <v>0</v>
      </c>
      <c r="Y63" s="19"/>
      <c r="Z63" s="15" t="s">
        <v>8</v>
      </c>
      <c r="AA63" s="12"/>
      <c r="AB63" s="47"/>
    </row>
    <row r="64" spans="2:28" ht="27" customHeight="1">
      <c r="B64" s="9">
        <v>57</v>
      </c>
      <c r="C64" s="16" t="s">
        <v>59</v>
      </c>
      <c r="D64" s="18">
        <v>199981411829</v>
      </c>
      <c r="E64" s="15" t="s">
        <v>60</v>
      </c>
      <c r="F64" s="12">
        <v>66</v>
      </c>
      <c r="G64" s="12" t="str">
        <f t="shared" si="51"/>
        <v>C</v>
      </c>
      <c r="H64" s="12">
        <v>74</v>
      </c>
      <c r="I64" s="12" t="str">
        <f t="shared" si="38"/>
        <v>C</v>
      </c>
      <c r="J64" s="12">
        <v>79</v>
      </c>
      <c r="K64" s="12" t="str">
        <f t="shared" si="39"/>
        <v>D</v>
      </c>
      <c r="L64" s="12">
        <v>44</v>
      </c>
      <c r="M64" s="12" t="str">
        <f t="shared" si="40"/>
        <v>S</v>
      </c>
      <c r="N64" s="12">
        <v>63</v>
      </c>
      <c r="O64" s="12" t="str">
        <f t="shared" si="41"/>
        <v>C</v>
      </c>
      <c r="P64" s="12">
        <v>52</v>
      </c>
      <c r="Q64" s="12" t="str">
        <f t="shared" si="42"/>
        <v>S</v>
      </c>
      <c r="R64" s="12">
        <f t="shared" si="52"/>
        <v>378</v>
      </c>
      <c r="S64" s="12" t="str">
        <f t="shared" si="44"/>
        <v>63%</v>
      </c>
      <c r="T64" s="12">
        <f t="shared" si="45"/>
        <v>1</v>
      </c>
      <c r="U64" s="12">
        <f t="shared" si="46"/>
        <v>3</v>
      </c>
      <c r="V64" s="12">
        <f t="shared" si="47"/>
        <v>2</v>
      </c>
      <c r="W64" s="12">
        <f t="shared" si="48"/>
        <v>0</v>
      </c>
      <c r="X64" s="12">
        <f t="shared" si="49"/>
        <v>0</v>
      </c>
      <c r="Y64" s="19"/>
      <c r="Z64" s="15" t="s">
        <v>9</v>
      </c>
      <c r="AA64" s="12"/>
      <c r="AB64" s="47"/>
    </row>
    <row r="65" spans="2:28" ht="27" customHeight="1">
      <c r="B65" s="9">
        <v>58</v>
      </c>
      <c r="C65" s="16" t="s">
        <v>61</v>
      </c>
      <c r="D65" s="18" t="s">
        <v>62</v>
      </c>
      <c r="E65" s="15" t="s">
        <v>63</v>
      </c>
      <c r="F65" s="12">
        <v>43</v>
      </c>
      <c r="G65" s="12" t="str">
        <f t="shared" si="51"/>
        <v>S</v>
      </c>
      <c r="H65" s="12">
        <v>48</v>
      </c>
      <c r="I65" s="12" t="str">
        <f t="shared" si="38"/>
        <v>S</v>
      </c>
      <c r="J65" s="12">
        <v>36</v>
      </c>
      <c r="K65" s="12" t="str">
        <f t="shared" si="39"/>
        <v>S</v>
      </c>
      <c r="L65" s="12">
        <v>35</v>
      </c>
      <c r="M65" s="12" t="str">
        <f t="shared" si="40"/>
        <v>S</v>
      </c>
      <c r="N65" s="12">
        <v>53</v>
      </c>
      <c r="O65" s="12" t="str">
        <f t="shared" si="41"/>
        <v>S</v>
      </c>
      <c r="P65" s="12">
        <v>39</v>
      </c>
      <c r="Q65" s="12" t="str">
        <f t="shared" si="42"/>
        <v>S</v>
      </c>
      <c r="R65" s="12">
        <f t="shared" si="52"/>
        <v>254</v>
      </c>
      <c r="S65" s="12" t="str">
        <f t="shared" si="44"/>
        <v>42%</v>
      </c>
      <c r="T65" s="12">
        <f t="shared" si="45"/>
        <v>0</v>
      </c>
      <c r="U65" s="12">
        <f t="shared" si="46"/>
        <v>0</v>
      </c>
      <c r="V65" s="12">
        <f t="shared" si="47"/>
        <v>5</v>
      </c>
      <c r="W65" s="12">
        <f t="shared" si="48"/>
        <v>0</v>
      </c>
      <c r="X65" s="12">
        <f t="shared" si="49"/>
        <v>0</v>
      </c>
      <c r="Y65" s="19"/>
      <c r="Z65" s="15" t="s">
        <v>9</v>
      </c>
      <c r="AA65" s="12"/>
      <c r="AB65" s="47"/>
    </row>
    <row r="66" spans="2:28" ht="27" customHeight="1">
      <c r="B66" s="9">
        <v>59</v>
      </c>
      <c r="C66" s="16" t="s">
        <v>64</v>
      </c>
      <c r="D66" s="17" t="s">
        <v>65</v>
      </c>
      <c r="E66" s="15" t="s">
        <v>66</v>
      </c>
      <c r="F66" s="1">
        <v>75</v>
      </c>
      <c r="G66" s="12" t="str">
        <f>IF(F66="-", "AB", IF(F66&gt;=75, "D", IF(F66&gt;=55, "C", IF(F66&gt;=35, "S", IF(F66&gt;=0, "F")))))</f>
        <v>D</v>
      </c>
      <c r="H66" s="12">
        <v>69</v>
      </c>
      <c r="I66" s="12" t="str">
        <f t="shared" si="38"/>
        <v>C</v>
      </c>
      <c r="J66" s="12">
        <v>61</v>
      </c>
      <c r="K66" s="12" t="str">
        <f t="shared" si="39"/>
        <v>C</v>
      </c>
      <c r="L66" s="12">
        <v>45</v>
      </c>
      <c r="M66" s="12" t="str">
        <f t="shared" si="40"/>
        <v>S</v>
      </c>
      <c r="N66" s="12">
        <v>75</v>
      </c>
      <c r="O66" s="12" t="str">
        <f t="shared" si="41"/>
        <v>D</v>
      </c>
      <c r="P66" s="12">
        <v>74</v>
      </c>
      <c r="Q66" s="12" t="str">
        <f t="shared" si="42"/>
        <v>C</v>
      </c>
      <c r="R66" s="12">
        <f>SUM(F66+H66+J66+L66+N66+P66)</f>
        <v>399</v>
      </c>
      <c r="S66" s="12" t="str">
        <f t="shared" si="44"/>
        <v>67%</v>
      </c>
      <c r="T66" s="12">
        <f t="shared" si="45"/>
        <v>2</v>
      </c>
      <c r="U66" s="12">
        <f t="shared" si="46"/>
        <v>3</v>
      </c>
      <c r="V66" s="12">
        <f t="shared" si="47"/>
        <v>1</v>
      </c>
      <c r="W66" s="12">
        <f t="shared" si="48"/>
        <v>0</v>
      </c>
      <c r="X66" s="12">
        <f t="shared" si="49"/>
        <v>0</v>
      </c>
      <c r="Y66" s="19"/>
      <c r="Z66" s="15" t="s">
        <v>9</v>
      </c>
      <c r="AA66" s="12"/>
      <c r="AB66" s="47"/>
    </row>
    <row r="67" spans="2:28" ht="27" customHeight="1">
      <c r="B67" s="9">
        <v>60</v>
      </c>
      <c r="C67" s="16" t="s">
        <v>67</v>
      </c>
      <c r="D67" s="18" t="s">
        <v>68</v>
      </c>
      <c r="E67" s="15" t="s">
        <v>69</v>
      </c>
      <c r="F67" s="12" t="s">
        <v>14</v>
      </c>
      <c r="G67" s="12" t="str">
        <f t="shared" ref="G67" si="54">IF(F67="-", "AB", IF(F67&gt;=75, "D", IF(F67&gt;=55, "C", IF(F67&gt;=35, "S", IF(F67&gt;=0, "F")))))</f>
        <v>AB</v>
      </c>
      <c r="H67" s="12" t="s">
        <v>14</v>
      </c>
      <c r="I67" s="12" t="str">
        <f t="shared" si="38"/>
        <v>AB</v>
      </c>
      <c r="J67" s="12" t="s">
        <v>14</v>
      </c>
      <c r="K67" s="12" t="str">
        <f t="shared" si="39"/>
        <v>AB</v>
      </c>
      <c r="L67" s="12" t="s">
        <v>14</v>
      </c>
      <c r="M67" s="12" t="str">
        <f t="shared" si="40"/>
        <v>AB</v>
      </c>
      <c r="N67" s="12" t="s">
        <v>14</v>
      </c>
      <c r="O67" s="12" t="str">
        <f t="shared" si="41"/>
        <v>AB</v>
      </c>
      <c r="P67" s="12" t="s">
        <v>14</v>
      </c>
      <c r="Q67" s="12" t="str">
        <f t="shared" si="42"/>
        <v>AB</v>
      </c>
      <c r="R67" s="12">
        <v>0</v>
      </c>
      <c r="S67" s="12" t="str">
        <f t="shared" si="44"/>
        <v>0%</v>
      </c>
      <c r="T67" s="12">
        <f t="shared" si="45"/>
        <v>0</v>
      </c>
      <c r="U67" s="12">
        <f t="shared" si="46"/>
        <v>0</v>
      </c>
      <c r="V67" s="12">
        <f t="shared" si="47"/>
        <v>0</v>
      </c>
      <c r="W67" s="12">
        <f t="shared" si="48"/>
        <v>0</v>
      </c>
      <c r="X67" s="12">
        <f t="shared" si="49"/>
        <v>6</v>
      </c>
      <c r="Y67" s="19"/>
      <c r="Z67" s="15" t="s">
        <v>7</v>
      </c>
      <c r="AA67" s="12"/>
      <c r="AB67" s="47"/>
    </row>
    <row r="68" spans="2:28" ht="27" customHeight="1">
      <c r="B68" s="9">
        <v>61</v>
      </c>
      <c r="C68" s="16" t="s">
        <v>70</v>
      </c>
      <c r="D68" s="18"/>
      <c r="E68" s="15" t="s">
        <v>71</v>
      </c>
      <c r="F68" s="12" t="s">
        <v>14</v>
      </c>
      <c r="G68" s="12" t="str">
        <f t="shared" ref="G68:G76" si="55">IF(F68="-", "AB", IF(F68&gt;=75, "D", IF(F68&gt;=55, "C", IF(F68&gt;=35, "S", IF(F68&gt;=0, "F")))))</f>
        <v>AB</v>
      </c>
      <c r="H68" s="12" t="s">
        <v>14</v>
      </c>
      <c r="I68" s="12" t="str">
        <f t="shared" ref="I68:I87" si="56">IF(H68="-", "AB", IF(H68&gt;=75, "D", IF(H68&gt;=55, "C", IF(H68&gt;=35, "S", IF(H68&gt;=0, "F")))))</f>
        <v>AB</v>
      </c>
      <c r="J68" s="12" t="s">
        <v>14</v>
      </c>
      <c r="K68" s="12" t="str">
        <f t="shared" ref="K68:K87" si="57">IF(J68="-", "AB", IF(J68&gt;=75, "D", IF(J68&gt;=55, "C", IF(J68&gt;=35, "S", IF(J68&gt;=0, "F")))))</f>
        <v>AB</v>
      </c>
      <c r="L68" s="12" t="s">
        <v>14</v>
      </c>
      <c r="M68" s="12" t="str">
        <f t="shared" ref="M68:M87" si="58">IF(L68="-", "AB", IF(L68&gt;=75, "D", IF(L68&gt;=55, "C", IF(L68&gt;=35, "S", IF(L68&gt;=0, "F")))))</f>
        <v>AB</v>
      </c>
      <c r="N68" s="12" t="s">
        <v>14</v>
      </c>
      <c r="O68" s="12" t="str">
        <f t="shared" ref="O68:O87" si="59">IF(N68="-", "AB", IF(N68&gt;=75, "D", IF(N68&gt;=55, "C", IF(N68&gt;=35, "S", IF(N68&gt;=0, "F")))))</f>
        <v>AB</v>
      </c>
      <c r="P68" s="12" t="s">
        <v>14</v>
      </c>
      <c r="Q68" s="12" t="str">
        <f t="shared" ref="Q68:Q87" si="60">IF(P68="-", "AB", IF(P68&gt;=75, "D", IF(P68&gt;=55, "C", IF(P68&gt;=35, "S", IF(P68&gt;=0, "F")))))</f>
        <v>AB</v>
      </c>
      <c r="R68" s="12">
        <v>0</v>
      </c>
      <c r="S68" s="12" t="str">
        <f t="shared" ref="S68:S87" si="61">ROUND(R68/6, 0)&amp;"%"</f>
        <v>0%</v>
      </c>
      <c r="T68" s="12">
        <f t="shared" ref="T68:T87" si="62">COUNTIF(F68:Q68, "D")</f>
        <v>0</v>
      </c>
      <c r="U68" s="12">
        <f t="shared" ref="U68:U87" si="63">COUNTIF(G68:T68, "C")</f>
        <v>0</v>
      </c>
      <c r="V68" s="12">
        <f t="shared" ref="V68:V87" si="64">COUNTIF(H68:U68, "S")</f>
        <v>0</v>
      </c>
      <c r="W68" s="12">
        <f t="shared" ref="W68:W87" si="65">COUNTIF(I68:V68, "F")</f>
        <v>0</v>
      </c>
      <c r="X68" s="12">
        <f t="shared" ref="X68:X87" si="66">COUNTIF(F68:W68, "-")</f>
        <v>6</v>
      </c>
      <c r="Y68" s="19"/>
      <c r="Z68" s="15" t="s">
        <v>7</v>
      </c>
      <c r="AA68" s="12"/>
      <c r="AB68" s="47"/>
    </row>
    <row r="69" spans="2:28" ht="27" customHeight="1">
      <c r="B69" s="9">
        <v>62</v>
      </c>
      <c r="C69" s="16" t="s">
        <v>72</v>
      </c>
      <c r="D69" s="18" t="s">
        <v>73</v>
      </c>
      <c r="E69" s="15" t="s">
        <v>74</v>
      </c>
      <c r="F69" s="12" t="s">
        <v>14</v>
      </c>
      <c r="G69" s="12" t="str">
        <f t="shared" si="55"/>
        <v>AB</v>
      </c>
      <c r="H69" s="12" t="s">
        <v>14</v>
      </c>
      <c r="I69" s="12" t="str">
        <f t="shared" si="56"/>
        <v>AB</v>
      </c>
      <c r="J69" s="12" t="s">
        <v>14</v>
      </c>
      <c r="K69" s="12" t="str">
        <f t="shared" si="57"/>
        <v>AB</v>
      </c>
      <c r="L69" s="12" t="s">
        <v>14</v>
      </c>
      <c r="M69" s="12" t="str">
        <f t="shared" si="58"/>
        <v>AB</v>
      </c>
      <c r="N69" s="12" t="s">
        <v>14</v>
      </c>
      <c r="O69" s="12" t="str">
        <f t="shared" si="59"/>
        <v>AB</v>
      </c>
      <c r="P69" s="12" t="s">
        <v>14</v>
      </c>
      <c r="Q69" s="12" t="str">
        <f t="shared" si="60"/>
        <v>AB</v>
      </c>
      <c r="R69" s="12">
        <v>0</v>
      </c>
      <c r="S69" s="12" t="str">
        <f t="shared" si="61"/>
        <v>0%</v>
      </c>
      <c r="T69" s="12">
        <f t="shared" si="62"/>
        <v>0</v>
      </c>
      <c r="U69" s="12">
        <f t="shared" si="63"/>
        <v>0</v>
      </c>
      <c r="V69" s="12">
        <f t="shared" si="64"/>
        <v>0</v>
      </c>
      <c r="W69" s="12">
        <f t="shared" si="65"/>
        <v>0</v>
      </c>
      <c r="X69" s="12">
        <f t="shared" si="66"/>
        <v>6</v>
      </c>
      <c r="Y69" s="19"/>
      <c r="Z69" s="15" t="s">
        <v>7</v>
      </c>
      <c r="AA69" s="12"/>
      <c r="AB69" s="47"/>
    </row>
    <row r="70" spans="2:28" ht="27" customHeight="1">
      <c r="B70" s="9">
        <v>63</v>
      </c>
      <c r="C70" s="16" t="s">
        <v>75</v>
      </c>
      <c r="D70" s="18" t="s">
        <v>76</v>
      </c>
      <c r="E70" s="15" t="s">
        <v>77</v>
      </c>
      <c r="F70" s="12" t="s">
        <v>14</v>
      </c>
      <c r="G70" s="12" t="str">
        <f t="shared" si="55"/>
        <v>AB</v>
      </c>
      <c r="H70" s="12" t="s">
        <v>14</v>
      </c>
      <c r="I70" s="12" t="str">
        <f t="shared" si="56"/>
        <v>AB</v>
      </c>
      <c r="J70" s="12" t="s">
        <v>14</v>
      </c>
      <c r="K70" s="12" t="str">
        <f t="shared" si="57"/>
        <v>AB</v>
      </c>
      <c r="L70" s="12" t="s">
        <v>14</v>
      </c>
      <c r="M70" s="12" t="str">
        <f t="shared" si="58"/>
        <v>AB</v>
      </c>
      <c r="N70" s="12" t="s">
        <v>14</v>
      </c>
      <c r="O70" s="12" t="str">
        <f t="shared" si="59"/>
        <v>AB</v>
      </c>
      <c r="P70" s="12" t="s">
        <v>14</v>
      </c>
      <c r="Q70" s="12" t="str">
        <f t="shared" si="60"/>
        <v>AB</v>
      </c>
      <c r="R70" s="12">
        <v>0</v>
      </c>
      <c r="S70" s="12" t="str">
        <f t="shared" si="61"/>
        <v>0%</v>
      </c>
      <c r="T70" s="12">
        <f t="shared" si="62"/>
        <v>0</v>
      </c>
      <c r="U70" s="12">
        <f t="shared" si="63"/>
        <v>0</v>
      </c>
      <c r="V70" s="12">
        <f t="shared" si="64"/>
        <v>0</v>
      </c>
      <c r="W70" s="12">
        <f t="shared" si="65"/>
        <v>0</v>
      </c>
      <c r="X70" s="12">
        <f t="shared" si="66"/>
        <v>6</v>
      </c>
      <c r="Y70" s="19"/>
      <c r="Z70" s="15" t="s">
        <v>7</v>
      </c>
      <c r="AA70" s="12"/>
      <c r="AB70" s="47"/>
    </row>
    <row r="71" spans="2:28" ht="27" customHeight="1">
      <c r="B71" s="9">
        <v>64</v>
      </c>
      <c r="C71" s="16" t="s">
        <v>78</v>
      </c>
      <c r="D71" s="18" t="s">
        <v>79</v>
      </c>
      <c r="E71" s="15" t="s">
        <v>80</v>
      </c>
      <c r="F71" s="12">
        <v>70</v>
      </c>
      <c r="G71" s="12" t="str">
        <f t="shared" si="55"/>
        <v>C</v>
      </c>
      <c r="H71" s="12">
        <v>66</v>
      </c>
      <c r="I71" s="12" t="str">
        <f t="shared" si="56"/>
        <v>C</v>
      </c>
      <c r="J71" s="12">
        <v>63</v>
      </c>
      <c r="K71" s="12" t="str">
        <f t="shared" si="57"/>
        <v>C</v>
      </c>
      <c r="L71" s="12">
        <v>53</v>
      </c>
      <c r="M71" s="12" t="str">
        <f t="shared" si="58"/>
        <v>S</v>
      </c>
      <c r="N71" s="12">
        <v>53</v>
      </c>
      <c r="O71" s="12" t="str">
        <f t="shared" si="59"/>
        <v>S</v>
      </c>
      <c r="P71" s="12">
        <v>57</v>
      </c>
      <c r="Q71" s="12" t="str">
        <f t="shared" si="60"/>
        <v>C</v>
      </c>
      <c r="R71" s="12">
        <f t="shared" ref="R71:R76" si="67">SUM(F71+H71+J71+L71+N71+P71)</f>
        <v>362</v>
      </c>
      <c r="S71" s="12" t="str">
        <f t="shared" si="61"/>
        <v>60%</v>
      </c>
      <c r="T71" s="12">
        <f t="shared" si="62"/>
        <v>0</v>
      </c>
      <c r="U71" s="12">
        <f t="shared" si="63"/>
        <v>4</v>
      </c>
      <c r="V71" s="12">
        <f t="shared" si="64"/>
        <v>2</v>
      </c>
      <c r="W71" s="12">
        <f t="shared" si="65"/>
        <v>0</v>
      </c>
      <c r="X71" s="12">
        <f t="shared" si="66"/>
        <v>0</v>
      </c>
      <c r="Y71" s="19"/>
      <c r="Z71" s="15" t="str">
        <f t="shared" ref="Z71:Z76" si="68">IF(X71&gt;0, "Not Completed",
   IF(T71=10, "First Class",
      IF(S71&gt;75, IF(V71&gt;0, "Ordinary Pass", "First Class"),
         IF(S71&gt;65, IF(V71&gt;0, "Ordinary Pass", "Second Class"), "none")
      )
   )
)</f>
        <v>Ordinary Pass</v>
      </c>
      <c r="AA71" s="12"/>
      <c r="AB71" s="47"/>
    </row>
    <row r="72" spans="2:28" ht="27" customHeight="1">
      <c r="B72" s="9">
        <v>65</v>
      </c>
      <c r="C72" s="16" t="s">
        <v>81</v>
      </c>
      <c r="D72" s="18" t="s">
        <v>82</v>
      </c>
      <c r="E72" s="15" t="s">
        <v>83</v>
      </c>
      <c r="F72" s="12">
        <v>39</v>
      </c>
      <c r="G72" s="12" t="str">
        <f t="shared" si="55"/>
        <v>S</v>
      </c>
      <c r="H72" s="12">
        <v>58</v>
      </c>
      <c r="I72" s="12" t="str">
        <f t="shared" si="56"/>
        <v>C</v>
      </c>
      <c r="J72" s="12">
        <v>24</v>
      </c>
      <c r="K72" s="12" t="str">
        <f t="shared" si="57"/>
        <v>F</v>
      </c>
      <c r="L72" s="12">
        <v>39</v>
      </c>
      <c r="M72" s="12" t="str">
        <f t="shared" si="58"/>
        <v>S</v>
      </c>
      <c r="N72" s="12">
        <v>57</v>
      </c>
      <c r="O72" s="12" t="str">
        <f t="shared" si="59"/>
        <v>C</v>
      </c>
      <c r="P72" s="12">
        <v>41</v>
      </c>
      <c r="Q72" s="12" t="str">
        <f t="shared" si="60"/>
        <v>S</v>
      </c>
      <c r="R72" s="12">
        <f t="shared" si="67"/>
        <v>258</v>
      </c>
      <c r="S72" s="12" t="str">
        <f t="shared" si="61"/>
        <v>43%</v>
      </c>
      <c r="T72" s="12">
        <f t="shared" si="62"/>
        <v>0</v>
      </c>
      <c r="U72" s="12">
        <f t="shared" si="63"/>
        <v>2</v>
      </c>
      <c r="V72" s="12">
        <f t="shared" si="64"/>
        <v>2</v>
      </c>
      <c r="W72" s="12">
        <f t="shared" si="65"/>
        <v>1</v>
      </c>
      <c r="X72" s="12">
        <f t="shared" si="66"/>
        <v>0</v>
      </c>
      <c r="Y72" s="19"/>
      <c r="Z72" s="15" t="s">
        <v>6</v>
      </c>
      <c r="AA72" s="12" t="s">
        <v>84</v>
      </c>
      <c r="AB72" s="47"/>
    </row>
    <row r="73" spans="2:28" ht="27" customHeight="1">
      <c r="B73" s="9">
        <v>66</v>
      </c>
      <c r="C73" s="16" t="s">
        <v>85</v>
      </c>
      <c r="D73" s="18" t="s">
        <v>86</v>
      </c>
      <c r="E73" s="15" t="s">
        <v>87</v>
      </c>
      <c r="F73" s="12">
        <v>77</v>
      </c>
      <c r="G73" s="12" t="str">
        <f t="shared" si="55"/>
        <v>D</v>
      </c>
      <c r="H73" s="12">
        <v>63</v>
      </c>
      <c r="I73" s="12" t="str">
        <f t="shared" si="56"/>
        <v>C</v>
      </c>
      <c r="J73" s="12">
        <v>47</v>
      </c>
      <c r="K73" s="12" t="str">
        <f t="shared" si="57"/>
        <v>S</v>
      </c>
      <c r="L73" s="12">
        <v>61</v>
      </c>
      <c r="M73" s="12" t="str">
        <f t="shared" si="58"/>
        <v>C</v>
      </c>
      <c r="N73" s="12">
        <v>66</v>
      </c>
      <c r="O73" s="12" t="str">
        <f t="shared" si="59"/>
        <v>C</v>
      </c>
      <c r="P73" s="12">
        <v>55</v>
      </c>
      <c r="Q73" s="12" t="str">
        <f t="shared" si="60"/>
        <v>C</v>
      </c>
      <c r="R73" s="12">
        <f t="shared" si="67"/>
        <v>369</v>
      </c>
      <c r="S73" s="12" t="str">
        <f t="shared" si="61"/>
        <v>62%</v>
      </c>
      <c r="T73" s="12">
        <f t="shared" si="62"/>
        <v>1</v>
      </c>
      <c r="U73" s="12">
        <f t="shared" si="63"/>
        <v>4</v>
      </c>
      <c r="V73" s="12">
        <f t="shared" si="64"/>
        <v>1</v>
      </c>
      <c r="W73" s="12">
        <f t="shared" si="65"/>
        <v>0</v>
      </c>
      <c r="X73" s="12">
        <f t="shared" si="66"/>
        <v>0</v>
      </c>
      <c r="Y73" s="19"/>
      <c r="Z73" s="15" t="str">
        <f t="shared" si="68"/>
        <v>Ordinary Pass</v>
      </c>
      <c r="AA73" s="12"/>
      <c r="AB73" s="47"/>
    </row>
    <row r="74" spans="2:28" ht="27" customHeight="1">
      <c r="B74" s="9">
        <v>67</v>
      </c>
      <c r="C74" s="16" t="s">
        <v>88</v>
      </c>
      <c r="D74" s="18">
        <v>199366703317</v>
      </c>
      <c r="E74" s="15" t="s">
        <v>89</v>
      </c>
      <c r="F74" s="12" t="s">
        <v>14</v>
      </c>
      <c r="G74" s="12" t="str">
        <f t="shared" si="55"/>
        <v>AB</v>
      </c>
      <c r="H74" s="12" t="s">
        <v>14</v>
      </c>
      <c r="I74" s="12" t="str">
        <f t="shared" si="56"/>
        <v>AB</v>
      </c>
      <c r="J74" s="12" t="s">
        <v>14</v>
      </c>
      <c r="K74" s="12" t="str">
        <f t="shared" si="57"/>
        <v>AB</v>
      </c>
      <c r="L74" s="12" t="s">
        <v>14</v>
      </c>
      <c r="M74" s="12" t="str">
        <f t="shared" si="58"/>
        <v>AB</v>
      </c>
      <c r="N74" s="12" t="s">
        <v>14</v>
      </c>
      <c r="O74" s="12" t="str">
        <f t="shared" si="59"/>
        <v>AB</v>
      </c>
      <c r="P74" s="12" t="s">
        <v>14</v>
      </c>
      <c r="Q74" s="12" t="str">
        <f t="shared" si="60"/>
        <v>AB</v>
      </c>
      <c r="R74" s="12">
        <v>0</v>
      </c>
      <c r="S74" s="12" t="str">
        <f t="shared" si="61"/>
        <v>0%</v>
      </c>
      <c r="T74" s="12">
        <f t="shared" si="62"/>
        <v>0</v>
      </c>
      <c r="U74" s="12">
        <f t="shared" si="63"/>
        <v>0</v>
      </c>
      <c r="V74" s="12">
        <f t="shared" si="64"/>
        <v>0</v>
      </c>
      <c r="W74" s="12">
        <f t="shared" si="65"/>
        <v>0</v>
      </c>
      <c r="X74" s="12">
        <f t="shared" si="66"/>
        <v>6</v>
      </c>
      <c r="Y74" s="19"/>
      <c r="Z74" s="15" t="s">
        <v>7</v>
      </c>
      <c r="AA74" s="12"/>
      <c r="AB74" s="47"/>
    </row>
    <row r="75" spans="2:28" ht="27" customHeight="1">
      <c r="B75" s="9">
        <v>68</v>
      </c>
      <c r="C75" s="16" t="s">
        <v>90</v>
      </c>
      <c r="D75" s="18" t="s">
        <v>91</v>
      </c>
      <c r="E75" s="15" t="s">
        <v>92</v>
      </c>
      <c r="F75" s="12">
        <v>39</v>
      </c>
      <c r="G75" s="12" t="str">
        <f t="shared" si="55"/>
        <v>S</v>
      </c>
      <c r="H75" s="12">
        <v>49</v>
      </c>
      <c r="I75" s="12" t="str">
        <f t="shared" si="56"/>
        <v>S</v>
      </c>
      <c r="J75" s="12">
        <v>23</v>
      </c>
      <c r="K75" s="12" t="str">
        <f t="shared" si="57"/>
        <v>F</v>
      </c>
      <c r="L75" s="12">
        <v>35</v>
      </c>
      <c r="M75" s="12" t="str">
        <f t="shared" si="58"/>
        <v>S</v>
      </c>
      <c r="N75" s="12">
        <v>51</v>
      </c>
      <c r="O75" s="12" t="str">
        <f t="shared" si="59"/>
        <v>S</v>
      </c>
      <c r="P75" s="12">
        <v>50</v>
      </c>
      <c r="Q75" s="12" t="str">
        <f t="shared" si="60"/>
        <v>S</v>
      </c>
      <c r="R75" s="12">
        <f t="shared" si="67"/>
        <v>247</v>
      </c>
      <c r="S75" s="12" t="str">
        <f t="shared" si="61"/>
        <v>41%</v>
      </c>
      <c r="T75" s="12">
        <f t="shared" si="62"/>
        <v>0</v>
      </c>
      <c r="U75" s="12">
        <f t="shared" si="63"/>
        <v>0</v>
      </c>
      <c r="V75" s="12">
        <f t="shared" si="64"/>
        <v>4</v>
      </c>
      <c r="W75" s="12">
        <f t="shared" si="65"/>
        <v>1</v>
      </c>
      <c r="X75" s="12">
        <f t="shared" si="66"/>
        <v>0</v>
      </c>
      <c r="Y75" s="19"/>
      <c r="Z75" s="15" t="s">
        <v>6</v>
      </c>
      <c r="AA75" s="12" t="s">
        <v>84</v>
      </c>
      <c r="AB75" s="47"/>
    </row>
    <row r="76" spans="2:28" ht="25.5" customHeight="1">
      <c r="B76" s="9">
        <v>69</v>
      </c>
      <c r="C76" s="16" t="s">
        <v>93</v>
      </c>
      <c r="D76" s="18" t="s">
        <v>94</v>
      </c>
      <c r="E76" s="15" t="s">
        <v>95</v>
      </c>
      <c r="F76" s="12">
        <v>35</v>
      </c>
      <c r="G76" s="12" t="str">
        <f t="shared" si="55"/>
        <v>S</v>
      </c>
      <c r="H76" s="12">
        <v>49</v>
      </c>
      <c r="I76" s="12" t="str">
        <f t="shared" si="56"/>
        <v>S</v>
      </c>
      <c r="J76" s="12">
        <v>43</v>
      </c>
      <c r="K76" s="12" t="str">
        <f t="shared" si="57"/>
        <v>S</v>
      </c>
      <c r="L76" s="12">
        <v>44</v>
      </c>
      <c r="M76" s="12" t="str">
        <f t="shared" si="58"/>
        <v>S</v>
      </c>
      <c r="N76" s="12">
        <v>62</v>
      </c>
      <c r="O76" s="12" t="str">
        <f t="shared" si="59"/>
        <v>C</v>
      </c>
      <c r="P76" s="12">
        <v>49</v>
      </c>
      <c r="Q76" s="12" t="str">
        <f t="shared" si="60"/>
        <v>S</v>
      </c>
      <c r="R76" s="12">
        <f t="shared" si="67"/>
        <v>282</v>
      </c>
      <c r="S76" s="12" t="str">
        <f t="shared" si="61"/>
        <v>47%</v>
      </c>
      <c r="T76" s="12">
        <f t="shared" si="62"/>
        <v>0</v>
      </c>
      <c r="U76" s="12">
        <f t="shared" si="63"/>
        <v>1</v>
      </c>
      <c r="V76" s="12">
        <f t="shared" si="64"/>
        <v>4</v>
      </c>
      <c r="W76" s="12">
        <f t="shared" si="65"/>
        <v>0</v>
      </c>
      <c r="X76" s="12">
        <f t="shared" si="66"/>
        <v>0</v>
      </c>
      <c r="Y76" s="19"/>
      <c r="Z76" s="15" t="str">
        <f t="shared" si="68"/>
        <v>Ordinary Pass</v>
      </c>
      <c r="AA76" s="12"/>
      <c r="AB76" s="47"/>
    </row>
    <row r="77" spans="2:28" ht="27" customHeight="1">
      <c r="B77" s="9">
        <v>70</v>
      </c>
      <c r="C77" s="16" t="s">
        <v>96</v>
      </c>
      <c r="D77" s="17">
        <v>200068204248</v>
      </c>
      <c r="E77" s="15" t="s">
        <v>97</v>
      </c>
      <c r="F77" s="1">
        <v>66</v>
      </c>
      <c r="G77" s="12" t="str">
        <f>IF(F77="-", "AB", IF(F77&gt;=75, "D", IF(F77&gt;=55, "C", IF(F77&gt;=35, "S", IF(F77&gt;=0, "F")))))</f>
        <v>C</v>
      </c>
      <c r="H77" s="12">
        <v>66</v>
      </c>
      <c r="I77" s="12" t="str">
        <f t="shared" si="56"/>
        <v>C</v>
      </c>
      <c r="J77" s="12">
        <v>47</v>
      </c>
      <c r="K77" s="12" t="str">
        <f t="shared" si="57"/>
        <v>S</v>
      </c>
      <c r="L77" s="12">
        <v>52</v>
      </c>
      <c r="M77" s="12" t="str">
        <f t="shared" si="58"/>
        <v>S</v>
      </c>
      <c r="N77" s="12">
        <v>58</v>
      </c>
      <c r="O77" s="12" t="str">
        <f t="shared" si="59"/>
        <v>C</v>
      </c>
      <c r="P77" s="12">
        <v>46</v>
      </c>
      <c r="Q77" s="12" t="str">
        <f t="shared" si="60"/>
        <v>S</v>
      </c>
      <c r="R77" s="12">
        <f>SUM(F77+H77+J77+L77+N77+P77)</f>
        <v>335</v>
      </c>
      <c r="S77" s="12" t="str">
        <f t="shared" si="61"/>
        <v>56%</v>
      </c>
      <c r="T77" s="12">
        <f t="shared" si="62"/>
        <v>0</v>
      </c>
      <c r="U77" s="12">
        <f t="shared" si="63"/>
        <v>3</v>
      </c>
      <c r="V77" s="12">
        <f t="shared" si="64"/>
        <v>3</v>
      </c>
      <c r="W77" s="12">
        <f t="shared" si="65"/>
        <v>0</v>
      </c>
      <c r="X77" s="12">
        <f t="shared" si="66"/>
        <v>0</v>
      </c>
      <c r="Y77" s="19"/>
      <c r="Z77" s="15" t="str">
        <f>IF(X77&gt;0, "Not Completed",
   IF(T77=10, "First Class",
      IF(S77&gt;75, IF(V77&gt;0, "Ordinary Pass", "First Class"),
         IF(S77&gt;65, IF(V77&gt;0, "Ordinary Pass", "Second Class"), "none")
      )
   )
)</f>
        <v>Ordinary Pass</v>
      </c>
      <c r="AA77" s="12"/>
      <c r="AB77" s="47"/>
    </row>
    <row r="78" spans="2:28" ht="27" customHeight="1">
      <c r="B78" s="9">
        <v>71</v>
      </c>
      <c r="C78" s="16" t="s">
        <v>978</v>
      </c>
      <c r="D78" s="18">
        <v>199153900757</v>
      </c>
      <c r="E78" s="15" t="s">
        <v>98</v>
      </c>
      <c r="F78" s="12">
        <v>74</v>
      </c>
      <c r="G78" s="12" t="str">
        <f t="shared" ref="G78:G87" si="69">IF(F78="-", "AB", IF(F78&gt;=75, "D", IF(F78&gt;=55, "C", IF(F78&gt;=35, "S", IF(F78&gt;=0, "F")))))</f>
        <v>C</v>
      </c>
      <c r="H78" s="12">
        <v>56</v>
      </c>
      <c r="I78" s="12" t="str">
        <f t="shared" si="56"/>
        <v>C</v>
      </c>
      <c r="J78" s="12">
        <v>43</v>
      </c>
      <c r="K78" s="12" t="str">
        <f t="shared" si="57"/>
        <v>S</v>
      </c>
      <c r="L78" s="12">
        <v>49</v>
      </c>
      <c r="M78" s="12" t="str">
        <f t="shared" si="58"/>
        <v>S</v>
      </c>
      <c r="N78" s="12">
        <v>60</v>
      </c>
      <c r="O78" s="12" t="str">
        <f t="shared" si="59"/>
        <v>C</v>
      </c>
      <c r="P78" s="12">
        <v>49</v>
      </c>
      <c r="Q78" s="12" t="str">
        <f t="shared" si="60"/>
        <v>S</v>
      </c>
      <c r="R78" s="12">
        <f t="shared" ref="R78:R87" si="70">SUM(F78+H78+J78+L78+N78+P78)</f>
        <v>331</v>
      </c>
      <c r="S78" s="12" t="str">
        <f t="shared" si="61"/>
        <v>55%</v>
      </c>
      <c r="T78" s="12">
        <f t="shared" si="62"/>
        <v>0</v>
      </c>
      <c r="U78" s="12">
        <f t="shared" si="63"/>
        <v>3</v>
      </c>
      <c r="V78" s="12">
        <f t="shared" si="64"/>
        <v>3</v>
      </c>
      <c r="W78" s="12">
        <f t="shared" si="65"/>
        <v>0</v>
      </c>
      <c r="X78" s="12">
        <f t="shared" si="66"/>
        <v>0</v>
      </c>
      <c r="Y78" s="19"/>
      <c r="Z78" s="15" t="str">
        <f t="shared" ref="Z78:Z83" si="71">IF(X78&gt;0, "Not Completed",
   IF(T78=10, "First Class",
      IF(S78&gt;75, IF(V78&gt;0, "Ordinary Pass", "First Class"),
         IF(S78&gt;65, IF(V78&gt;0, "Ordinary Pass", "Second Class"), "none")
      )
   )
)</f>
        <v>Ordinary Pass</v>
      </c>
      <c r="AA78" s="12"/>
      <c r="AB78" s="47"/>
    </row>
    <row r="79" spans="2:28" ht="27" customHeight="1">
      <c r="B79" s="9">
        <v>72</v>
      </c>
      <c r="C79" s="16" t="s">
        <v>977</v>
      </c>
      <c r="D79" s="18">
        <v>197554802986</v>
      </c>
      <c r="E79" s="15" t="s">
        <v>99</v>
      </c>
      <c r="F79" s="12">
        <v>38</v>
      </c>
      <c r="G79" s="12" t="str">
        <f t="shared" si="69"/>
        <v>S</v>
      </c>
      <c r="H79" s="12">
        <v>52</v>
      </c>
      <c r="I79" s="12" t="str">
        <f t="shared" si="56"/>
        <v>S</v>
      </c>
      <c r="J79" s="12">
        <v>18</v>
      </c>
      <c r="K79" s="12" t="str">
        <f t="shared" si="57"/>
        <v>F</v>
      </c>
      <c r="L79" s="12">
        <v>47</v>
      </c>
      <c r="M79" s="12" t="str">
        <f t="shared" si="58"/>
        <v>S</v>
      </c>
      <c r="N79" s="12">
        <v>51</v>
      </c>
      <c r="O79" s="12" t="str">
        <f t="shared" si="59"/>
        <v>S</v>
      </c>
      <c r="P79" s="12">
        <v>45</v>
      </c>
      <c r="Q79" s="12" t="str">
        <f t="shared" si="60"/>
        <v>S</v>
      </c>
      <c r="R79" s="12">
        <f t="shared" si="70"/>
        <v>251</v>
      </c>
      <c r="S79" s="12" t="str">
        <f t="shared" si="61"/>
        <v>42%</v>
      </c>
      <c r="T79" s="12">
        <f t="shared" si="62"/>
        <v>0</v>
      </c>
      <c r="U79" s="12">
        <f t="shared" si="63"/>
        <v>0</v>
      </c>
      <c r="V79" s="12">
        <f t="shared" si="64"/>
        <v>4</v>
      </c>
      <c r="W79" s="12">
        <f t="shared" si="65"/>
        <v>1</v>
      </c>
      <c r="X79" s="12">
        <f t="shared" si="66"/>
        <v>0</v>
      </c>
      <c r="Y79" s="19"/>
      <c r="Z79" s="15" t="s">
        <v>6</v>
      </c>
      <c r="AA79" s="12" t="s">
        <v>84</v>
      </c>
      <c r="AB79" s="47"/>
    </row>
    <row r="80" spans="2:28" ht="27" customHeight="1">
      <c r="B80" s="9">
        <v>73</v>
      </c>
      <c r="C80" s="16" t="s">
        <v>976</v>
      </c>
      <c r="D80" s="18">
        <v>200072502493</v>
      </c>
      <c r="E80" s="15" t="s">
        <v>100</v>
      </c>
      <c r="F80" s="12" t="s">
        <v>14</v>
      </c>
      <c r="G80" s="12" t="str">
        <f t="shared" si="69"/>
        <v>AB</v>
      </c>
      <c r="H80" s="12" t="s">
        <v>14</v>
      </c>
      <c r="I80" s="12" t="str">
        <f t="shared" si="56"/>
        <v>AB</v>
      </c>
      <c r="J80" s="12" t="s">
        <v>14</v>
      </c>
      <c r="K80" s="12" t="str">
        <f t="shared" si="57"/>
        <v>AB</v>
      </c>
      <c r="L80" s="12" t="s">
        <v>14</v>
      </c>
      <c r="M80" s="12" t="str">
        <f t="shared" si="58"/>
        <v>AB</v>
      </c>
      <c r="N80" s="12" t="s">
        <v>14</v>
      </c>
      <c r="O80" s="12" t="str">
        <f t="shared" si="59"/>
        <v>AB</v>
      </c>
      <c r="P80" s="12" t="s">
        <v>14</v>
      </c>
      <c r="Q80" s="12" t="str">
        <f t="shared" si="60"/>
        <v>AB</v>
      </c>
      <c r="R80" s="12" t="s">
        <v>7</v>
      </c>
      <c r="S80" s="12">
        <v>0</v>
      </c>
      <c r="T80" s="12">
        <f t="shared" si="62"/>
        <v>0</v>
      </c>
      <c r="U80" s="12">
        <f t="shared" si="63"/>
        <v>0</v>
      </c>
      <c r="V80" s="12">
        <f t="shared" si="64"/>
        <v>0</v>
      </c>
      <c r="W80" s="12">
        <f t="shared" si="65"/>
        <v>0</v>
      </c>
      <c r="X80" s="12">
        <f t="shared" si="66"/>
        <v>6</v>
      </c>
      <c r="Y80" s="19"/>
      <c r="Z80" s="15" t="s">
        <v>7</v>
      </c>
      <c r="AA80" s="12"/>
      <c r="AB80" s="47"/>
    </row>
    <row r="81" spans="2:28" ht="27" customHeight="1">
      <c r="B81" s="9">
        <v>74</v>
      </c>
      <c r="C81" s="16" t="s">
        <v>975</v>
      </c>
      <c r="D81" s="18">
        <v>198553302620</v>
      </c>
      <c r="E81" s="15" t="s">
        <v>101</v>
      </c>
      <c r="F81" s="12">
        <v>68</v>
      </c>
      <c r="G81" s="12" t="str">
        <f t="shared" si="69"/>
        <v>C</v>
      </c>
      <c r="H81" s="12">
        <v>65</v>
      </c>
      <c r="I81" s="12" t="str">
        <f t="shared" si="56"/>
        <v>C</v>
      </c>
      <c r="J81" s="12">
        <v>44</v>
      </c>
      <c r="K81" s="12" t="str">
        <f t="shared" si="57"/>
        <v>S</v>
      </c>
      <c r="L81" s="12">
        <v>66</v>
      </c>
      <c r="M81" s="12" t="str">
        <f t="shared" si="58"/>
        <v>C</v>
      </c>
      <c r="N81" s="12">
        <v>57</v>
      </c>
      <c r="O81" s="12" t="str">
        <f t="shared" si="59"/>
        <v>C</v>
      </c>
      <c r="P81" s="12">
        <v>42</v>
      </c>
      <c r="Q81" s="12" t="str">
        <f t="shared" si="60"/>
        <v>S</v>
      </c>
      <c r="R81" s="12">
        <f t="shared" si="70"/>
        <v>342</v>
      </c>
      <c r="S81" s="12" t="str">
        <f t="shared" si="61"/>
        <v>57%</v>
      </c>
      <c r="T81" s="12">
        <f t="shared" si="62"/>
        <v>0</v>
      </c>
      <c r="U81" s="12">
        <f t="shared" si="63"/>
        <v>4</v>
      </c>
      <c r="V81" s="12">
        <f t="shared" si="64"/>
        <v>2</v>
      </c>
      <c r="W81" s="12">
        <f t="shared" si="65"/>
        <v>0</v>
      </c>
      <c r="X81" s="12">
        <f t="shared" si="66"/>
        <v>0</v>
      </c>
      <c r="Y81" s="19"/>
      <c r="Z81" s="15" t="str">
        <f t="shared" si="71"/>
        <v>Ordinary Pass</v>
      </c>
      <c r="AA81" s="12"/>
      <c r="AB81" s="47"/>
    </row>
    <row r="82" spans="2:28" ht="27" customHeight="1">
      <c r="B82" s="9">
        <v>75</v>
      </c>
      <c r="C82" s="16" t="s">
        <v>974</v>
      </c>
      <c r="D82" s="18">
        <v>198267002036</v>
      </c>
      <c r="E82" s="15" t="s">
        <v>102</v>
      </c>
      <c r="F82" s="12" t="s">
        <v>14</v>
      </c>
      <c r="G82" s="12" t="str">
        <f t="shared" si="69"/>
        <v>AB</v>
      </c>
      <c r="H82" s="12" t="s">
        <v>14</v>
      </c>
      <c r="I82" s="12" t="str">
        <f t="shared" si="56"/>
        <v>AB</v>
      </c>
      <c r="J82" s="12" t="s">
        <v>14</v>
      </c>
      <c r="K82" s="12" t="str">
        <f t="shared" si="57"/>
        <v>AB</v>
      </c>
      <c r="L82" s="12" t="s">
        <v>14</v>
      </c>
      <c r="M82" s="12" t="str">
        <f t="shared" si="58"/>
        <v>AB</v>
      </c>
      <c r="N82" s="12" t="s">
        <v>14</v>
      </c>
      <c r="O82" s="12" t="str">
        <f t="shared" si="59"/>
        <v>AB</v>
      </c>
      <c r="P82" s="12" t="s">
        <v>14</v>
      </c>
      <c r="Q82" s="12" t="str">
        <f t="shared" si="60"/>
        <v>AB</v>
      </c>
      <c r="R82" s="12" t="s">
        <v>7</v>
      </c>
      <c r="S82" s="12">
        <v>0</v>
      </c>
      <c r="T82" s="12">
        <f t="shared" si="62"/>
        <v>0</v>
      </c>
      <c r="U82" s="12">
        <f t="shared" si="63"/>
        <v>0</v>
      </c>
      <c r="V82" s="12">
        <f t="shared" si="64"/>
        <v>0</v>
      </c>
      <c r="W82" s="12">
        <f t="shared" si="65"/>
        <v>0</v>
      </c>
      <c r="X82" s="12">
        <f t="shared" si="66"/>
        <v>6</v>
      </c>
      <c r="Y82" s="19"/>
      <c r="Z82" s="15" t="s">
        <v>7</v>
      </c>
      <c r="AA82" s="12"/>
      <c r="AB82" s="47"/>
    </row>
    <row r="83" spans="2:28" ht="27" customHeight="1">
      <c r="B83" s="9">
        <v>76</v>
      </c>
      <c r="C83" s="16" t="s">
        <v>973</v>
      </c>
      <c r="D83" s="18" t="s">
        <v>103</v>
      </c>
      <c r="E83" s="15" t="s">
        <v>104</v>
      </c>
      <c r="F83" s="12">
        <v>86</v>
      </c>
      <c r="G83" s="12" t="str">
        <f t="shared" si="69"/>
        <v>D</v>
      </c>
      <c r="H83" s="12">
        <v>96</v>
      </c>
      <c r="I83" s="12" t="str">
        <f t="shared" si="56"/>
        <v>D</v>
      </c>
      <c r="J83" s="12">
        <v>70</v>
      </c>
      <c r="K83" s="12" t="str">
        <f t="shared" si="57"/>
        <v>C</v>
      </c>
      <c r="L83" s="12">
        <v>78</v>
      </c>
      <c r="M83" s="12" t="str">
        <f t="shared" si="58"/>
        <v>D</v>
      </c>
      <c r="N83" s="12">
        <v>76</v>
      </c>
      <c r="O83" s="12" t="str">
        <f t="shared" si="59"/>
        <v>D</v>
      </c>
      <c r="P83" s="12">
        <v>66</v>
      </c>
      <c r="Q83" s="12" t="str">
        <f t="shared" si="60"/>
        <v>C</v>
      </c>
      <c r="R83" s="12">
        <f t="shared" si="70"/>
        <v>472</v>
      </c>
      <c r="S83" s="12" t="str">
        <f t="shared" si="61"/>
        <v>79%</v>
      </c>
      <c r="T83" s="12">
        <f t="shared" si="62"/>
        <v>4</v>
      </c>
      <c r="U83" s="12">
        <f t="shared" si="63"/>
        <v>2</v>
      </c>
      <c r="V83" s="12">
        <f t="shared" si="64"/>
        <v>0</v>
      </c>
      <c r="W83" s="12">
        <f t="shared" si="65"/>
        <v>0</v>
      </c>
      <c r="X83" s="12">
        <f t="shared" si="66"/>
        <v>0</v>
      </c>
      <c r="Y83" s="19"/>
      <c r="Z83" s="15" t="str">
        <f t="shared" si="71"/>
        <v>First Class</v>
      </c>
      <c r="AA83" s="12"/>
      <c r="AB83" s="47"/>
    </row>
    <row r="84" spans="2:28" ht="27" customHeight="1">
      <c r="B84" s="9">
        <v>77</v>
      </c>
      <c r="C84" s="16" t="s">
        <v>972</v>
      </c>
      <c r="D84" s="18" t="s">
        <v>105</v>
      </c>
      <c r="E84" s="15" t="s">
        <v>106</v>
      </c>
      <c r="F84" s="12">
        <v>62</v>
      </c>
      <c r="G84" s="12" t="str">
        <f t="shared" si="69"/>
        <v>C</v>
      </c>
      <c r="H84" s="12">
        <v>72</v>
      </c>
      <c r="I84" s="12" t="str">
        <f t="shared" si="56"/>
        <v>C</v>
      </c>
      <c r="J84" s="12">
        <v>64</v>
      </c>
      <c r="K84" s="12" t="str">
        <f t="shared" si="57"/>
        <v>C</v>
      </c>
      <c r="L84" s="12">
        <v>28</v>
      </c>
      <c r="M84" s="12" t="str">
        <f t="shared" si="58"/>
        <v>F</v>
      </c>
      <c r="N84" s="12">
        <v>70</v>
      </c>
      <c r="O84" s="12" t="str">
        <f t="shared" si="59"/>
        <v>C</v>
      </c>
      <c r="P84" s="12">
        <v>72</v>
      </c>
      <c r="Q84" s="12" t="str">
        <f t="shared" si="60"/>
        <v>C</v>
      </c>
      <c r="R84" s="12">
        <f t="shared" si="70"/>
        <v>368</v>
      </c>
      <c r="S84" s="12" t="str">
        <f t="shared" si="61"/>
        <v>61%</v>
      </c>
      <c r="T84" s="12">
        <f t="shared" si="62"/>
        <v>0</v>
      </c>
      <c r="U84" s="12">
        <f t="shared" si="63"/>
        <v>5</v>
      </c>
      <c r="V84" s="12">
        <f t="shared" si="64"/>
        <v>0</v>
      </c>
      <c r="W84" s="12">
        <f t="shared" si="65"/>
        <v>1</v>
      </c>
      <c r="X84" s="12">
        <f t="shared" si="66"/>
        <v>0</v>
      </c>
      <c r="Y84" s="19"/>
      <c r="Z84" s="15" t="s">
        <v>6</v>
      </c>
      <c r="AA84" s="12" t="s">
        <v>49</v>
      </c>
      <c r="AB84" s="47"/>
    </row>
    <row r="85" spans="2:28" ht="27" customHeight="1">
      <c r="B85" s="9">
        <v>78</v>
      </c>
      <c r="C85" s="16" t="s">
        <v>971</v>
      </c>
      <c r="D85" s="18">
        <v>200072500059</v>
      </c>
      <c r="E85" s="15" t="s">
        <v>107</v>
      </c>
      <c r="F85" s="12">
        <v>57</v>
      </c>
      <c r="G85" s="12" t="str">
        <f t="shared" si="69"/>
        <v>C</v>
      </c>
      <c r="H85" s="12">
        <v>65</v>
      </c>
      <c r="I85" s="12" t="str">
        <f t="shared" si="56"/>
        <v>C</v>
      </c>
      <c r="J85" s="12">
        <v>68</v>
      </c>
      <c r="K85" s="12" t="str">
        <f t="shared" si="57"/>
        <v>C</v>
      </c>
      <c r="L85" s="12">
        <v>40</v>
      </c>
      <c r="M85" s="12" t="str">
        <f t="shared" si="58"/>
        <v>S</v>
      </c>
      <c r="N85" s="12">
        <v>43</v>
      </c>
      <c r="O85" s="12" t="str">
        <f t="shared" si="59"/>
        <v>S</v>
      </c>
      <c r="P85" s="12">
        <v>50</v>
      </c>
      <c r="Q85" s="12" t="str">
        <f t="shared" si="60"/>
        <v>S</v>
      </c>
      <c r="R85" s="12">
        <f t="shared" si="70"/>
        <v>323</v>
      </c>
      <c r="S85" s="12" t="str">
        <f t="shared" si="61"/>
        <v>54%</v>
      </c>
      <c r="T85" s="12">
        <f t="shared" si="62"/>
        <v>0</v>
      </c>
      <c r="U85" s="12">
        <f t="shared" si="63"/>
        <v>3</v>
      </c>
      <c r="V85" s="12">
        <f t="shared" si="64"/>
        <v>3</v>
      </c>
      <c r="W85" s="12">
        <f t="shared" si="65"/>
        <v>0</v>
      </c>
      <c r="X85" s="12">
        <f t="shared" si="66"/>
        <v>0</v>
      </c>
      <c r="Y85" s="19"/>
      <c r="Z85" s="15" t="str">
        <f t="shared" ref="Z85:Z86" si="72">IF(X85&gt;0, "Not Completed",
   IF(T85=10, "First Class",
      IF(S85&gt;75, IF(V85&gt;0, "Ordinary Pass", "First Class"),
         IF(S85&gt;65, IF(V85&gt;0, "Ordinary Pass", "Second Class"), "none")
      )
   )
)</f>
        <v>Ordinary Pass</v>
      </c>
      <c r="AA85" s="12"/>
      <c r="AB85" s="47"/>
    </row>
    <row r="86" spans="2:28" ht="27" customHeight="1">
      <c r="B86" s="9">
        <v>79</v>
      </c>
      <c r="C86" s="16" t="s">
        <v>970</v>
      </c>
      <c r="D86" s="18" t="s">
        <v>108</v>
      </c>
      <c r="E86" s="15" t="s">
        <v>109</v>
      </c>
      <c r="F86" s="12">
        <v>95</v>
      </c>
      <c r="G86" s="12" t="str">
        <f t="shared" si="69"/>
        <v>D</v>
      </c>
      <c r="H86" s="12">
        <v>81</v>
      </c>
      <c r="I86" s="12" t="str">
        <f t="shared" si="56"/>
        <v>D</v>
      </c>
      <c r="J86" s="12">
        <v>69</v>
      </c>
      <c r="K86" s="12" t="str">
        <f t="shared" si="57"/>
        <v>C</v>
      </c>
      <c r="L86" s="12">
        <v>85</v>
      </c>
      <c r="M86" s="12" t="str">
        <f t="shared" si="58"/>
        <v>D</v>
      </c>
      <c r="N86" s="12">
        <v>68</v>
      </c>
      <c r="O86" s="12" t="str">
        <f t="shared" si="59"/>
        <v>C</v>
      </c>
      <c r="P86" s="12">
        <v>86</v>
      </c>
      <c r="Q86" s="12" t="str">
        <f t="shared" si="60"/>
        <v>D</v>
      </c>
      <c r="R86" s="12">
        <f t="shared" si="70"/>
        <v>484</v>
      </c>
      <c r="S86" s="12" t="str">
        <f t="shared" si="61"/>
        <v>81%</v>
      </c>
      <c r="T86" s="12">
        <f t="shared" si="62"/>
        <v>4</v>
      </c>
      <c r="U86" s="12">
        <f t="shared" si="63"/>
        <v>2</v>
      </c>
      <c r="V86" s="12">
        <f t="shared" si="64"/>
        <v>0</v>
      </c>
      <c r="W86" s="12">
        <f t="shared" si="65"/>
        <v>0</v>
      </c>
      <c r="X86" s="12">
        <f t="shared" si="66"/>
        <v>0</v>
      </c>
      <c r="Y86" s="19"/>
      <c r="Z86" s="15" t="str">
        <f t="shared" si="72"/>
        <v>First Class</v>
      </c>
      <c r="AA86" s="12"/>
      <c r="AB86" s="47"/>
    </row>
    <row r="87" spans="2:28" ht="27" customHeight="1">
      <c r="B87" s="9">
        <v>80</v>
      </c>
      <c r="C87" s="16" t="s">
        <v>969</v>
      </c>
      <c r="D87" s="18" t="s">
        <v>110</v>
      </c>
      <c r="E87" s="15" t="s">
        <v>111</v>
      </c>
      <c r="F87" s="12">
        <v>74</v>
      </c>
      <c r="G87" s="12" t="str">
        <f t="shared" si="69"/>
        <v>C</v>
      </c>
      <c r="H87" s="12">
        <v>79</v>
      </c>
      <c r="I87" s="12" t="str">
        <f t="shared" si="56"/>
        <v>D</v>
      </c>
      <c r="J87" s="12">
        <v>21</v>
      </c>
      <c r="K87" s="12" t="str">
        <f t="shared" si="57"/>
        <v>F</v>
      </c>
      <c r="L87" s="12">
        <v>53</v>
      </c>
      <c r="M87" s="12" t="str">
        <f t="shared" si="58"/>
        <v>S</v>
      </c>
      <c r="N87" s="12">
        <v>43</v>
      </c>
      <c r="O87" s="12" t="str">
        <f t="shared" si="59"/>
        <v>S</v>
      </c>
      <c r="P87" s="12">
        <v>50</v>
      </c>
      <c r="Q87" s="12" t="str">
        <f t="shared" si="60"/>
        <v>S</v>
      </c>
      <c r="R87" s="12">
        <f t="shared" si="70"/>
        <v>320</v>
      </c>
      <c r="S87" s="12" t="str">
        <f t="shared" si="61"/>
        <v>53%</v>
      </c>
      <c r="T87" s="12">
        <f t="shared" si="62"/>
        <v>1</v>
      </c>
      <c r="U87" s="12">
        <f t="shared" si="63"/>
        <v>1</v>
      </c>
      <c r="V87" s="12">
        <f t="shared" si="64"/>
        <v>3</v>
      </c>
      <c r="W87" s="12">
        <f t="shared" si="65"/>
        <v>1</v>
      </c>
      <c r="X87" s="12">
        <f t="shared" si="66"/>
        <v>0</v>
      </c>
      <c r="Y87" s="19"/>
      <c r="Z87" s="15" t="s">
        <v>6</v>
      </c>
      <c r="AA87" s="12" t="s">
        <v>84</v>
      </c>
      <c r="AB87" s="47"/>
    </row>
    <row r="88" spans="2:28" ht="27" customHeight="1">
      <c r="B88" s="9">
        <v>81</v>
      </c>
      <c r="C88" s="16" t="s">
        <v>968</v>
      </c>
      <c r="D88" s="18" t="s">
        <v>112</v>
      </c>
      <c r="E88" s="15" t="s">
        <v>113</v>
      </c>
      <c r="F88" s="12">
        <v>71</v>
      </c>
      <c r="G88" s="12" t="str">
        <f t="shared" ref="G88:G107" si="73">IF(F88="-", "AB", IF(F88&gt;=75, "D", IF(F88&gt;=55, "C", IF(F88&gt;=35, "S", IF(F88&gt;=0, "F")))))</f>
        <v>C</v>
      </c>
      <c r="H88" s="12">
        <v>84</v>
      </c>
      <c r="I88" s="12" t="str">
        <f t="shared" ref="I88:I107" si="74">IF(H88="-", "AB", IF(H88&gt;=75, "D", IF(H88&gt;=55, "C", IF(H88&gt;=35, "S", IF(H88&gt;=0, "F")))))</f>
        <v>D</v>
      </c>
      <c r="J88" s="12">
        <v>30</v>
      </c>
      <c r="K88" s="12" t="str">
        <f t="shared" ref="K88:K107" si="75">IF(J88="-", "AB", IF(J88&gt;=75, "D", IF(J88&gt;=55, "C", IF(J88&gt;=35, "S", IF(J88&gt;=0, "F")))))</f>
        <v>F</v>
      </c>
      <c r="L88" s="12">
        <v>64</v>
      </c>
      <c r="M88" s="12" t="str">
        <f t="shared" ref="M88:M107" si="76">IF(L88="-", "AB", IF(L88&gt;=75, "D", IF(L88&gt;=55, "C", IF(L88&gt;=35, "S", IF(L88&gt;=0, "F")))))</f>
        <v>C</v>
      </c>
      <c r="N88" s="12">
        <v>61</v>
      </c>
      <c r="O88" s="12" t="str">
        <f t="shared" ref="O88:O107" si="77">IF(N88="-", "AB", IF(N88&gt;=75, "D", IF(N88&gt;=55, "C", IF(N88&gt;=35, "S", IF(N88&gt;=0, "F")))))</f>
        <v>C</v>
      </c>
      <c r="P88" s="12">
        <v>62</v>
      </c>
      <c r="Q88" s="12" t="str">
        <f t="shared" ref="Q88:Q107" si="78">IF(P88="-", "AB", IF(P88&gt;=75, "D", IF(P88&gt;=55, "C", IF(P88&gt;=35, "S", IF(P88&gt;=0, "F")))))</f>
        <v>C</v>
      </c>
      <c r="R88" s="12">
        <f t="shared" ref="R88:R100" si="79">SUM(F88+H88+J88+L88+N88+P88)</f>
        <v>372</v>
      </c>
      <c r="S88" s="12" t="str">
        <f t="shared" ref="S88:S107" si="80">ROUND(R88/6, 0)&amp;"%"</f>
        <v>62%</v>
      </c>
      <c r="T88" s="12">
        <f t="shared" ref="T88:T107" si="81">COUNTIF(F88:Q88, "D")</f>
        <v>1</v>
      </c>
      <c r="U88" s="12">
        <f t="shared" ref="U88:U107" si="82">COUNTIF(G88:T88, "C")</f>
        <v>4</v>
      </c>
      <c r="V88" s="12">
        <f t="shared" ref="V88:V107" si="83">COUNTIF(H88:U88, "S")</f>
        <v>0</v>
      </c>
      <c r="W88" s="12">
        <f t="shared" ref="W88:W107" si="84">COUNTIF(I88:V88, "F")</f>
        <v>1</v>
      </c>
      <c r="X88" s="12">
        <f t="shared" ref="X88:X107" si="85">COUNTIF(F88:W88, "-")</f>
        <v>0</v>
      </c>
      <c r="Y88" s="19"/>
      <c r="Z88" s="15" t="s">
        <v>6</v>
      </c>
      <c r="AA88" s="12" t="s">
        <v>84</v>
      </c>
      <c r="AB88" s="47"/>
    </row>
    <row r="89" spans="2:28" ht="27" customHeight="1">
      <c r="B89" s="9">
        <v>82</v>
      </c>
      <c r="C89" s="16" t="s">
        <v>967</v>
      </c>
      <c r="D89" s="18">
        <v>199882910400</v>
      </c>
      <c r="E89" s="15" t="s">
        <v>114</v>
      </c>
      <c r="F89" s="12">
        <v>67</v>
      </c>
      <c r="G89" s="12" t="str">
        <f t="shared" si="73"/>
        <v>C</v>
      </c>
      <c r="H89" s="12">
        <v>81</v>
      </c>
      <c r="I89" s="12" t="str">
        <f t="shared" si="74"/>
        <v>D</v>
      </c>
      <c r="J89" s="12">
        <v>49</v>
      </c>
      <c r="K89" s="12" t="str">
        <f t="shared" si="75"/>
        <v>S</v>
      </c>
      <c r="L89" s="12">
        <v>60</v>
      </c>
      <c r="M89" s="12" t="str">
        <f t="shared" si="76"/>
        <v>C</v>
      </c>
      <c r="N89" s="12">
        <v>60</v>
      </c>
      <c r="O89" s="12" t="str">
        <f t="shared" si="77"/>
        <v>C</v>
      </c>
      <c r="P89" s="12">
        <v>59</v>
      </c>
      <c r="Q89" s="12" t="str">
        <f t="shared" si="78"/>
        <v>C</v>
      </c>
      <c r="R89" s="12">
        <f t="shared" si="79"/>
        <v>376</v>
      </c>
      <c r="S89" s="12" t="str">
        <f t="shared" si="80"/>
        <v>63%</v>
      </c>
      <c r="T89" s="12">
        <f t="shared" si="81"/>
        <v>1</v>
      </c>
      <c r="U89" s="12">
        <f t="shared" si="82"/>
        <v>4</v>
      </c>
      <c r="V89" s="12">
        <f t="shared" si="83"/>
        <v>1</v>
      </c>
      <c r="W89" s="12">
        <f t="shared" si="84"/>
        <v>0</v>
      </c>
      <c r="X89" s="12">
        <f t="shared" si="85"/>
        <v>0</v>
      </c>
      <c r="Y89" s="19"/>
      <c r="Z89" s="15" t="str">
        <f t="shared" ref="Z89:Z99" si="86">IF(X89&gt;0, "Not Completed",
   IF(T89=10, "First Class",
      IF(S89&gt;75, IF(V89&gt;0, "Ordinary Pass", "First Class"),
         IF(S89&gt;65, IF(V89&gt;0, "Ordinary Pass", "Second Class"), "none")
      )
   )
)</f>
        <v>Ordinary Pass</v>
      </c>
      <c r="AA89" s="12"/>
      <c r="AB89" s="47"/>
    </row>
    <row r="90" spans="2:28" ht="27" customHeight="1">
      <c r="B90" s="9">
        <v>83</v>
      </c>
      <c r="C90" s="16" t="s">
        <v>966</v>
      </c>
      <c r="D90" s="18" t="s">
        <v>115</v>
      </c>
      <c r="E90" s="15" t="s">
        <v>116</v>
      </c>
      <c r="F90" s="12">
        <v>74</v>
      </c>
      <c r="G90" s="12" t="str">
        <f t="shared" si="73"/>
        <v>C</v>
      </c>
      <c r="H90" s="12">
        <v>59</v>
      </c>
      <c r="I90" s="12" t="str">
        <f t="shared" si="74"/>
        <v>C</v>
      </c>
      <c r="J90" s="12">
        <v>65</v>
      </c>
      <c r="K90" s="12" t="str">
        <f t="shared" si="75"/>
        <v>C</v>
      </c>
      <c r="L90" s="12">
        <v>60</v>
      </c>
      <c r="M90" s="12" t="str">
        <f t="shared" si="76"/>
        <v>C</v>
      </c>
      <c r="N90" s="12">
        <v>65</v>
      </c>
      <c r="O90" s="12" t="str">
        <f t="shared" si="77"/>
        <v>C</v>
      </c>
      <c r="P90" s="12">
        <v>43</v>
      </c>
      <c r="Q90" s="12" t="str">
        <f t="shared" si="78"/>
        <v>S</v>
      </c>
      <c r="R90" s="12">
        <f t="shared" si="79"/>
        <v>366</v>
      </c>
      <c r="S90" s="12" t="str">
        <f t="shared" si="80"/>
        <v>61%</v>
      </c>
      <c r="T90" s="12">
        <f t="shared" si="81"/>
        <v>0</v>
      </c>
      <c r="U90" s="12">
        <f t="shared" si="82"/>
        <v>5</v>
      </c>
      <c r="V90" s="12">
        <f t="shared" si="83"/>
        <v>1</v>
      </c>
      <c r="W90" s="12">
        <f t="shared" si="84"/>
        <v>0</v>
      </c>
      <c r="X90" s="12">
        <f t="shared" si="85"/>
        <v>0</v>
      </c>
      <c r="Y90" s="19"/>
      <c r="Z90" s="15" t="str">
        <f t="shared" si="86"/>
        <v>Ordinary Pass</v>
      </c>
      <c r="AA90" s="12"/>
      <c r="AB90" s="47"/>
    </row>
    <row r="91" spans="2:28" ht="27" customHeight="1">
      <c r="B91" s="9">
        <v>84</v>
      </c>
      <c r="C91" s="16" t="s">
        <v>965</v>
      </c>
      <c r="D91" s="18" t="s">
        <v>117</v>
      </c>
      <c r="E91" s="15" t="s">
        <v>118</v>
      </c>
      <c r="F91" s="12">
        <v>61</v>
      </c>
      <c r="G91" s="12" t="str">
        <f t="shared" si="73"/>
        <v>C</v>
      </c>
      <c r="H91" s="12">
        <v>61</v>
      </c>
      <c r="I91" s="12" t="str">
        <f t="shared" si="74"/>
        <v>C</v>
      </c>
      <c r="J91" s="12">
        <v>67</v>
      </c>
      <c r="K91" s="12" t="str">
        <f t="shared" si="75"/>
        <v>C</v>
      </c>
      <c r="L91" s="12">
        <v>55</v>
      </c>
      <c r="M91" s="12" t="str">
        <f t="shared" si="76"/>
        <v>C</v>
      </c>
      <c r="N91" s="12">
        <v>58</v>
      </c>
      <c r="O91" s="12" t="str">
        <f t="shared" si="77"/>
        <v>C</v>
      </c>
      <c r="P91" s="12">
        <v>66</v>
      </c>
      <c r="Q91" s="12" t="str">
        <f t="shared" si="78"/>
        <v>C</v>
      </c>
      <c r="R91" s="12">
        <f t="shared" si="79"/>
        <v>368</v>
      </c>
      <c r="S91" s="12" t="str">
        <f t="shared" si="80"/>
        <v>61%</v>
      </c>
      <c r="T91" s="12">
        <f t="shared" si="81"/>
        <v>0</v>
      </c>
      <c r="U91" s="12">
        <f t="shared" si="82"/>
        <v>6</v>
      </c>
      <c r="V91" s="12">
        <f t="shared" si="83"/>
        <v>0</v>
      </c>
      <c r="W91" s="12">
        <f t="shared" si="84"/>
        <v>0</v>
      </c>
      <c r="X91" s="12">
        <f t="shared" si="85"/>
        <v>0</v>
      </c>
      <c r="Y91" s="19"/>
      <c r="Z91" s="15" t="s">
        <v>784</v>
      </c>
      <c r="AA91" s="12"/>
      <c r="AB91" s="47"/>
    </row>
    <row r="92" spans="2:28" ht="27" customHeight="1">
      <c r="B92" s="9">
        <v>85</v>
      </c>
      <c r="C92" s="16" t="s">
        <v>119</v>
      </c>
      <c r="D92" s="18" t="s">
        <v>120</v>
      </c>
      <c r="E92" s="15" t="s">
        <v>121</v>
      </c>
      <c r="F92" s="12">
        <v>52</v>
      </c>
      <c r="G92" s="12" t="str">
        <f t="shared" si="73"/>
        <v>S</v>
      </c>
      <c r="H92" s="12">
        <v>48</v>
      </c>
      <c r="I92" s="12" t="str">
        <f t="shared" si="74"/>
        <v>S</v>
      </c>
      <c r="J92" s="12">
        <v>36</v>
      </c>
      <c r="K92" s="12" t="str">
        <f t="shared" si="75"/>
        <v>S</v>
      </c>
      <c r="L92" s="12">
        <v>43</v>
      </c>
      <c r="M92" s="12" t="str">
        <f t="shared" si="76"/>
        <v>S</v>
      </c>
      <c r="N92" s="12">
        <v>39</v>
      </c>
      <c r="O92" s="12" t="str">
        <f t="shared" si="77"/>
        <v>S</v>
      </c>
      <c r="P92" s="12">
        <v>43</v>
      </c>
      <c r="Q92" s="12" t="str">
        <f t="shared" si="78"/>
        <v>S</v>
      </c>
      <c r="R92" s="12">
        <f t="shared" si="79"/>
        <v>261</v>
      </c>
      <c r="S92" s="12" t="str">
        <f t="shared" si="80"/>
        <v>44%</v>
      </c>
      <c r="T92" s="12">
        <f t="shared" si="81"/>
        <v>0</v>
      </c>
      <c r="U92" s="12">
        <f t="shared" si="82"/>
        <v>0</v>
      </c>
      <c r="V92" s="12">
        <f t="shared" si="83"/>
        <v>5</v>
      </c>
      <c r="W92" s="12">
        <f t="shared" si="84"/>
        <v>0</v>
      </c>
      <c r="X92" s="12">
        <f t="shared" si="85"/>
        <v>0</v>
      </c>
      <c r="Y92" s="19"/>
      <c r="Z92" s="15" t="str">
        <f t="shared" si="86"/>
        <v>Ordinary Pass</v>
      </c>
      <c r="AA92" s="12"/>
      <c r="AB92" s="47"/>
    </row>
    <row r="93" spans="2:28" ht="27" customHeight="1">
      <c r="B93" s="9">
        <v>86</v>
      </c>
      <c r="C93" s="16" t="s">
        <v>964</v>
      </c>
      <c r="D93" s="18">
        <v>198182100485</v>
      </c>
      <c r="E93" s="15" t="s">
        <v>122</v>
      </c>
      <c r="F93" s="12">
        <v>69</v>
      </c>
      <c r="G93" s="12" t="str">
        <f t="shared" si="73"/>
        <v>C</v>
      </c>
      <c r="H93" s="12">
        <v>62</v>
      </c>
      <c r="I93" s="12" t="str">
        <f t="shared" si="74"/>
        <v>C</v>
      </c>
      <c r="J93" s="12">
        <v>22</v>
      </c>
      <c r="K93" s="12" t="str">
        <f t="shared" si="75"/>
        <v>F</v>
      </c>
      <c r="L93" s="12">
        <v>43</v>
      </c>
      <c r="M93" s="12" t="str">
        <f t="shared" si="76"/>
        <v>S</v>
      </c>
      <c r="N93" s="12">
        <v>56</v>
      </c>
      <c r="O93" s="12" t="str">
        <f t="shared" si="77"/>
        <v>C</v>
      </c>
      <c r="P93" s="12">
        <v>41</v>
      </c>
      <c r="Q93" s="12" t="str">
        <f t="shared" si="78"/>
        <v>S</v>
      </c>
      <c r="R93" s="12">
        <f t="shared" si="79"/>
        <v>293</v>
      </c>
      <c r="S93" s="12" t="str">
        <f t="shared" si="80"/>
        <v>49%</v>
      </c>
      <c r="T93" s="12">
        <f t="shared" si="81"/>
        <v>0</v>
      </c>
      <c r="U93" s="12">
        <f t="shared" si="82"/>
        <v>3</v>
      </c>
      <c r="V93" s="12">
        <f t="shared" si="83"/>
        <v>2</v>
      </c>
      <c r="W93" s="12">
        <f t="shared" si="84"/>
        <v>1</v>
      </c>
      <c r="X93" s="12">
        <f t="shared" si="85"/>
        <v>0</v>
      </c>
      <c r="Y93" s="19"/>
      <c r="Z93" s="15" t="s">
        <v>6</v>
      </c>
      <c r="AA93" s="12" t="s">
        <v>84</v>
      </c>
      <c r="AB93" s="47"/>
    </row>
    <row r="94" spans="2:28" ht="27" customHeight="1">
      <c r="B94" s="9">
        <v>87</v>
      </c>
      <c r="C94" s="16" t="s">
        <v>963</v>
      </c>
      <c r="D94" s="18">
        <v>198265803509</v>
      </c>
      <c r="E94" s="15" t="s">
        <v>123</v>
      </c>
      <c r="F94" s="12">
        <v>38</v>
      </c>
      <c r="G94" s="12" t="str">
        <f t="shared" si="73"/>
        <v>S</v>
      </c>
      <c r="H94" s="12">
        <v>33</v>
      </c>
      <c r="I94" s="12" t="str">
        <f t="shared" si="74"/>
        <v>F</v>
      </c>
      <c r="J94" s="12">
        <v>15</v>
      </c>
      <c r="K94" s="12" t="str">
        <f t="shared" si="75"/>
        <v>F</v>
      </c>
      <c r="L94" s="12">
        <v>37</v>
      </c>
      <c r="M94" s="12" t="str">
        <f t="shared" si="76"/>
        <v>S</v>
      </c>
      <c r="N94" s="12">
        <v>43</v>
      </c>
      <c r="O94" s="12" t="str">
        <f t="shared" si="77"/>
        <v>S</v>
      </c>
      <c r="P94" s="12">
        <v>37</v>
      </c>
      <c r="Q94" s="12" t="str">
        <f t="shared" si="78"/>
        <v>S</v>
      </c>
      <c r="R94" s="12">
        <f t="shared" si="79"/>
        <v>203</v>
      </c>
      <c r="S94" s="12" t="str">
        <f t="shared" si="80"/>
        <v>34%</v>
      </c>
      <c r="T94" s="12">
        <f t="shared" si="81"/>
        <v>0</v>
      </c>
      <c r="U94" s="12">
        <f t="shared" si="82"/>
        <v>0</v>
      </c>
      <c r="V94" s="12">
        <f t="shared" si="83"/>
        <v>3</v>
      </c>
      <c r="W94" s="12">
        <f t="shared" si="84"/>
        <v>2</v>
      </c>
      <c r="X94" s="12">
        <f t="shared" si="85"/>
        <v>0</v>
      </c>
      <c r="Y94" s="19"/>
      <c r="Z94" s="15" t="s">
        <v>6</v>
      </c>
      <c r="AA94" s="12" t="s">
        <v>124</v>
      </c>
      <c r="AB94" s="47"/>
    </row>
    <row r="95" spans="2:28" ht="27" customHeight="1">
      <c r="B95" s="9">
        <v>88</v>
      </c>
      <c r="C95" s="16" t="s">
        <v>962</v>
      </c>
      <c r="D95" s="18">
        <v>197777402531</v>
      </c>
      <c r="E95" s="15" t="s">
        <v>125</v>
      </c>
      <c r="F95" s="12">
        <v>41</v>
      </c>
      <c r="G95" s="12" t="str">
        <f t="shared" si="73"/>
        <v>S</v>
      </c>
      <c r="H95" s="12">
        <v>49</v>
      </c>
      <c r="I95" s="12" t="str">
        <f t="shared" si="74"/>
        <v>S</v>
      </c>
      <c r="J95" s="12">
        <v>30</v>
      </c>
      <c r="K95" s="12" t="str">
        <f t="shared" si="75"/>
        <v>F</v>
      </c>
      <c r="L95" s="12">
        <v>36</v>
      </c>
      <c r="M95" s="12" t="str">
        <f t="shared" si="76"/>
        <v>S</v>
      </c>
      <c r="N95" s="12">
        <v>39</v>
      </c>
      <c r="O95" s="12" t="str">
        <f t="shared" si="77"/>
        <v>S</v>
      </c>
      <c r="P95" s="12">
        <v>53</v>
      </c>
      <c r="Q95" s="12" t="str">
        <f t="shared" si="78"/>
        <v>S</v>
      </c>
      <c r="R95" s="12">
        <f t="shared" si="79"/>
        <v>248</v>
      </c>
      <c r="S95" s="12" t="str">
        <f t="shared" si="80"/>
        <v>41%</v>
      </c>
      <c r="T95" s="12">
        <f t="shared" si="81"/>
        <v>0</v>
      </c>
      <c r="U95" s="12">
        <f t="shared" si="82"/>
        <v>0</v>
      </c>
      <c r="V95" s="12">
        <f t="shared" si="83"/>
        <v>4</v>
      </c>
      <c r="W95" s="12">
        <f t="shared" si="84"/>
        <v>1</v>
      </c>
      <c r="X95" s="12">
        <f t="shared" si="85"/>
        <v>0</v>
      </c>
      <c r="Y95" s="19"/>
      <c r="Z95" s="15" t="s">
        <v>6</v>
      </c>
      <c r="AA95" s="12" t="s">
        <v>84</v>
      </c>
      <c r="AB95" s="47"/>
    </row>
    <row r="96" spans="2:28" ht="27" customHeight="1">
      <c r="B96" s="9">
        <v>89</v>
      </c>
      <c r="C96" s="16" t="s">
        <v>961</v>
      </c>
      <c r="D96" s="18" t="s">
        <v>126</v>
      </c>
      <c r="E96" s="15" t="s">
        <v>127</v>
      </c>
      <c r="F96" s="12">
        <v>67</v>
      </c>
      <c r="G96" s="12" t="str">
        <f t="shared" si="73"/>
        <v>C</v>
      </c>
      <c r="H96" s="12">
        <v>57</v>
      </c>
      <c r="I96" s="12" t="str">
        <f t="shared" si="74"/>
        <v>C</v>
      </c>
      <c r="J96" s="12">
        <v>40</v>
      </c>
      <c r="K96" s="12" t="str">
        <f t="shared" si="75"/>
        <v>S</v>
      </c>
      <c r="L96" s="12">
        <v>42</v>
      </c>
      <c r="M96" s="12" t="str">
        <f t="shared" si="76"/>
        <v>S</v>
      </c>
      <c r="N96" s="12">
        <v>45</v>
      </c>
      <c r="O96" s="12" t="str">
        <f t="shared" si="77"/>
        <v>S</v>
      </c>
      <c r="P96" s="12">
        <v>41</v>
      </c>
      <c r="Q96" s="12" t="str">
        <f t="shared" si="78"/>
        <v>S</v>
      </c>
      <c r="R96" s="12">
        <f t="shared" si="79"/>
        <v>292</v>
      </c>
      <c r="S96" s="12" t="str">
        <f t="shared" si="80"/>
        <v>49%</v>
      </c>
      <c r="T96" s="12">
        <f t="shared" si="81"/>
        <v>0</v>
      </c>
      <c r="U96" s="12">
        <f t="shared" si="82"/>
        <v>2</v>
      </c>
      <c r="V96" s="12">
        <f t="shared" si="83"/>
        <v>4</v>
      </c>
      <c r="W96" s="12">
        <f t="shared" si="84"/>
        <v>0</v>
      </c>
      <c r="X96" s="12">
        <f t="shared" si="85"/>
        <v>0</v>
      </c>
      <c r="Y96" s="19"/>
      <c r="Z96" s="15" t="str">
        <f t="shared" si="86"/>
        <v>Ordinary Pass</v>
      </c>
      <c r="AA96" s="12"/>
      <c r="AB96" s="47"/>
    </row>
    <row r="97" spans="2:28" ht="27" customHeight="1">
      <c r="B97" s="9">
        <v>90</v>
      </c>
      <c r="C97" s="16" t="s">
        <v>960</v>
      </c>
      <c r="D97" s="18">
        <v>198872200298</v>
      </c>
      <c r="E97" s="15" t="s">
        <v>128</v>
      </c>
      <c r="F97" s="12">
        <v>56</v>
      </c>
      <c r="G97" s="12" t="str">
        <f t="shared" si="73"/>
        <v>C</v>
      </c>
      <c r="H97" s="12">
        <v>46</v>
      </c>
      <c r="I97" s="12" t="str">
        <f t="shared" si="74"/>
        <v>S</v>
      </c>
      <c r="J97" s="12">
        <v>37</v>
      </c>
      <c r="K97" s="12" t="str">
        <f t="shared" si="75"/>
        <v>S</v>
      </c>
      <c r="L97" s="12">
        <v>41</v>
      </c>
      <c r="M97" s="12" t="str">
        <f t="shared" si="76"/>
        <v>S</v>
      </c>
      <c r="N97" s="12">
        <v>58</v>
      </c>
      <c r="O97" s="12" t="str">
        <f t="shared" si="77"/>
        <v>C</v>
      </c>
      <c r="P97" s="12">
        <v>37</v>
      </c>
      <c r="Q97" s="12" t="str">
        <f t="shared" si="78"/>
        <v>S</v>
      </c>
      <c r="R97" s="12">
        <f t="shared" si="79"/>
        <v>275</v>
      </c>
      <c r="S97" s="12" t="str">
        <f t="shared" si="80"/>
        <v>46%</v>
      </c>
      <c r="T97" s="12">
        <f t="shared" si="81"/>
        <v>0</v>
      </c>
      <c r="U97" s="12">
        <f t="shared" si="82"/>
        <v>2</v>
      </c>
      <c r="V97" s="12">
        <f t="shared" si="83"/>
        <v>4</v>
      </c>
      <c r="W97" s="12">
        <f t="shared" si="84"/>
        <v>0</v>
      </c>
      <c r="X97" s="12">
        <f t="shared" si="85"/>
        <v>0</v>
      </c>
      <c r="Y97" s="19"/>
      <c r="Z97" s="15" t="str">
        <f t="shared" si="86"/>
        <v>Ordinary Pass</v>
      </c>
      <c r="AA97" s="12"/>
      <c r="AB97" s="47"/>
    </row>
    <row r="98" spans="2:28" ht="27" customHeight="1">
      <c r="B98" s="9">
        <v>91</v>
      </c>
      <c r="C98" s="16" t="s">
        <v>959</v>
      </c>
      <c r="D98" s="18">
        <v>199986311087</v>
      </c>
      <c r="E98" s="15" t="s">
        <v>129</v>
      </c>
      <c r="F98" s="12">
        <v>61</v>
      </c>
      <c r="G98" s="12" t="str">
        <f t="shared" si="73"/>
        <v>C</v>
      </c>
      <c r="H98" s="12">
        <v>60</v>
      </c>
      <c r="I98" s="12" t="str">
        <f t="shared" si="74"/>
        <v>C</v>
      </c>
      <c r="J98" s="12">
        <v>78</v>
      </c>
      <c r="K98" s="12" t="str">
        <f t="shared" si="75"/>
        <v>D</v>
      </c>
      <c r="L98" s="12">
        <v>44</v>
      </c>
      <c r="M98" s="12" t="str">
        <f t="shared" si="76"/>
        <v>S</v>
      </c>
      <c r="N98" s="12">
        <v>52</v>
      </c>
      <c r="O98" s="12" t="str">
        <f t="shared" si="77"/>
        <v>S</v>
      </c>
      <c r="P98" s="12">
        <v>54</v>
      </c>
      <c r="Q98" s="12" t="str">
        <f t="shared" si="78"/>
        <v>S</v>
      </c>
      <c r="R98" s="12">
        <f t="shared" si="79"/>
        <v>349</v>
      </c>
      <c r="S98" s="12" t="str">
        <f t="shared" si="80"/>
        <v>58%</v>
      </c>
      <c r="T98" s="12">
        <f t="shared" si="81"/>
        <v>1</v>
      </c>
      <c r="U98" s="12">
        <f t="shared" si="82"/>
        <v>2</v>
      </c>
      <c r="V98" s="12">
        <f t="shared" si="83"/>
        <v>3</v>
      </c>
      <c r="W98" s="12">
        <f t="shared" si="84"/>
        <v>0</v>
      </c>
      <c r="X98" s="12">
        <f t="shared" si="85"/>
        <v>0</v>
      </c>
      <c r="Y98" s="19"/>
      <c r="Z98" s="15" t="str">
        <f t="shared" si="86"/>
        <v>Ordinary Pass</v>
      </c>
      <c r="AA98" s="12"/>
      <c r="AB98" s="47"/>
    </row>
    <row r="99" spans="2:28" ht="27" customHeight="1">
      <c r="B99" s="9">
        <v>92</v>
      </c>
      <c r="C99" s="16" t="s">
        <v>958</v>
      </c>
      <c r="D99" s="18">
        <v>197357803203</v>
      </c>
      <c r="E99" s="15" t="s">
        <v>130</v>
      </c>
      <c r="F99" s="12">
        <v>81</v>
      </c>
      <c r="G99" s="12" t="str">
        <f t="shared" si="73"/>
        <v>D</v>
      </c>
      <c r="H99" s="12">
        <v>59</v>
      </c>
      <c r="I99" s="12" t="str">
        <f t="shared" si="74"/>
        <v>C</v>
      </c>
      <c r="J99" s="12">
        <v>68</v>
      </c>
      <c r="K99" s="12" t="str">
        <f t="shared" si="75"/>
        <v>C</v>
      </c>
      <c r="L99" s="12">
        <v>68</v>
      </c>
      <c r="M99" s="12" t="str">
        <f t="shared" si="76"/>
        <v>C</v>
      </c>
      <c r="N99" s="12">
        <v>54</v>
      </c>
      <c r="O99" s="12" t="str">
        <f t="shared" si="77"/>
        <v>S</v>
      </c>
      <c r="P99" s="12">
        <v>44</v>
      </c>
      <c r="Q99" s="12" t="str">
        <f t="shared" si="78"/>
        <v>S</v>
      </c>
      <c r="R99" s="12">
        <f t="shared" si="79"/>
        <v>374</v>
      </c>
      <c r="S99" s="12" t="str">
        <f t="shared" si="80"/>
        <v>62%</v>
      </c>
      <c r="T99" s="12">
        <f t="shared" si="81"/>
        <v>1</v>
      </c>
      <c r="U99" s="12">
        <f t="shared" si="82"/>
        <v>3</v>
      </c>
      <c r="V99" s="12">
        <f t="shared" si="83"/>
        <v>2</v>
      </c>
      <c r="W99" s="12">
        <f t="shared" si="84"/>
        <v>0</v>
      </c>
      <c r="X99" s="12">
        <f t="shared" si="85"/>
        <v>0</v>
      </c>
      <c r="Y99" s="19"/>
      <c r="Z99" s="15" t="str">
        <f t="shared" si="86"/>
        <v>Ordinary Pass</v>
      </c>
      <c r="AA99" s="12"/>
      <c r="AB99" s="47"/>
    </row>
    <row r="100" spans="2:28" ht="27" customHeight="1">
      <c r="B100" s="9">
        <v>93</v>
      </c>
      <c r="C100" s="16" t="s">
        <v>957</v>
      </c>
      <c r="D100" s="18" t="s">
        <v>131</v>
      </c>
      <c r="E100" s="15" t="s">
        <v>132</v>
      </c>
      <c r="F100" s="12">
        <v>77</v>
      </c>
      <c r="G100" s="12" t="str">
        <f t="shared" si="73"/>
        <v>D</v>
      </c>
      <c r="H100" s="12">
        <v>70</v>
      </c>
      <c r="I100" s="12" t="str">
        <f t="shared" si="74"/>
        <v>C</v>
      </c>
      <c r="J100" s="12">
        <v>72</v>
      </c>
      <c r="K100" s="12" t="str">
        <f t="shared" si="75"/>
        <v>C</v>
      </c>
      <c r="L100" s="12">
        <v>61</v>
      </c>
      <c r="M100" s="12" t="str">
        <f t="shared" si="76"/>
        <v>C</v>
      </c>
      <c r="N100" s="12">
        <v>61</v>
      </c>
      <c r="O100" s="12" t="str">
        <f t="shared" si="77"/>
        <v>C</v>
      </c>
      <c r="P100" s="12">
        <v>62</v>
      </c>
      <c r="Q100" s="12" t="str">
        <f t="shared" si="78"/>
        <v>C</v>
      </c>
      <c r="R100" s="12">
        <f t="shared" si="79"/>
        <v>403</v>
      </c>
      <c r="S100" s="12" t="str">
        <f t="shared" si="80"/>
        <v>67%</v>
      </c>
      <c r="T100" s="12">
        <f t="shared" si="81"/>
        <v>1</v>
      </c>
      <c r="U100" s="12">
        <f t="shared" si="82"/>
        <v>5</v>
      </c>
      <c r="V100" s="12">
        <f t="shared" si="83"/>
        <v>0</v>
      </c>
      <c r="W100" s="12">
        <f t="shared" si="84"/>
        <v>0</v>
      </c>
      <c r="X100" s="12">
        <f t="shared" si="85"/>
        <v>0</v>
      </c>
      <c r="Y100" s="19"/>
      <c r="Z100" s="15" t="s">
        <v>10</v>
      </c>
      <c r="AA100" s="12"/>
      <c r="AB100" s="47"/>
    </row>
    <row r="101" spans="2:28" ht="27" customHeight="1">
      <c r="B101" s="9">
        <v>94</v>
      </c>
      <c r="C101" s="16" t="s">
        <v>956</v>
      </c>
      <c r="D101" s="18" t="s">
        <v>133</v>
      </c>
      <c r="E101" s="15" t="s">
        <v>134</v>
      </c>
      <c r="F101" s="12" t="s">
        <v>14</v>
      </c>
      <c r="G101" s="12" t="str">
        <f t="shared" si="73"/>
        <v>AB</v>
      </c>
      <c r="H101" s="12" t="s">
        <v>14</v>
      </c>
      <c r="I101" s="12" t="str">
        <f t="shared" si="74"/>
        <v>AB</v>
      </c>
      <c r="J101" s="12" t="s">
        <v>14</v>
      </c>
      <c r="K101" s="12" t="str">
        <f t="shared" si="75"/>
        <v>AB</v>
      </c>
      <c r="L101" s="12" t="s">
        <v>14</v>
      </c>
      <c r="M101" s="12" t="str">
        <f t="shared" si="76"/>
        <v>AB</v>
      </c>
      <c r="N101" s="12" t="s">
        <v>14</v>
      </c>
      <c r="O101" s="12" t="str">
        <f t="shared" si="77"/>
        <v>AB</v>
      </c>
      <c r="P101" s="12" t="s">
        <v>14</v>
      </c>
      <c r="Q101" s="12" t="str">
        <f t="shared" si="78"/>
        <v>AB</v>
      </c>
      <c r="R101" s="12">
        <v>0</v>
      </c>
      <c r="S101" s="12" t="str">
        <f t="shared" si="80"/>
        <v>0%</v>
      </c>
      <c r="T101" s="12">
        <f t="shared" si="81"/>
        <v>0</v>
      </c>
      <c r="U101" s="12">
        <f t="shared" si="82"/>
        <v>0</v>
      </c>
      <c r="V101" s="12">
        <f t="shared" si="83"/>
        <v>0</v>
      </c>
      <c r="W101" s="12">
        <f t="shared" si="84"/>
        <v>0</v>
      </c>
      <c r="X101" s="12">
        <f t="shared" si="85"/>
        <v>6</v>
      </c>
      <c r="Y101" s="19"/>
      <c r="Z101" s="15" t="s">
        <v>7</v>
      </c>
      <c r="AA101" s="12"/>
      <c r="AB101" s="47"/>
    </row>
    <row r="102" spans="2:28" ht="27" customHeight="1">
      <c r="B102" s="9">
        <v>95</v>
      </c>
      <c r="C102" s="16" t="s">
        <v>955</v>
      </c>
      <c r="D102" s="18">
        <v>198582802225</v>
      </c>
      <c r="E102" s="15" t="s">
        <v>135</v>
      </c>
      <c r="F102" s="12">
        <v>66</v>
      </c>
      <c r="G102" s="12" t="str">
        <f t="shared" si="73"/>
        <v>C</v>
      </c>
      <c r="H102" s="12">
        <v>68</v>
      </c>
      <c r="I102" s="12" t="str">
        <f t="shared" si="74"/>
        <v>C</v>
      </c>
      <c r="J102" s="12">
        <v>63</v>
      </c>
      <c r="K102" s="12" t="str">
        <f t="shared" si="75"/>
        <v>C</v>
      </c>
      <c r="L102" s="12">
        <v>41</v>
      </c>
      <c r="M102" s="12" t="str">
        <f t="shared" si="76"/>
        <v>S</v>
      </c>
      <c r="N102" s="12">
        <v>51</v>
      </c>
      <c r="O102" s="12" t="str">
        <f t="shared" si="77"/>
        <v>S</v>
      </c>
      <c r="P102" s="12">
        <v>48</v>
      </c>
      <c r="Q102" s="12" t="str">
        <f t="shared" si="78"/>
        <v>S</v>
      </c>
      <c r="R102" s="12">
        <f t="shared" ref="R102:R107" si="87">SUM(F102+H102+J102+L102+N102+P102)</f>
        <v>337</v>
      </c>
      <c r="S102" s="12" t="str">
        <f t="shared" si="80"/>
        <v>56%</v>
      </c>
      <c r="T102" s="12">
        <f t="shared" si="81"/>
        <v>0</v>
      </c>
      <c r="U102" s="12">
        <f t="shared" si="82"/>
        <v>3</v>
      </c>
      <c r="V102" s="12">
        <f t="shared" si="83"/>
        <v>3</v>
      </c>
      <c r="W102" s="12">
        <f t="shared" si="84"/>
        <v>0</v>
      </c>
      <c r="X102" s="12">
        <f t="shared" si="85"/>
        <v>0</v>
      </c>
      <c r="Y102" s="19"/>
      <c r="Z102" s="15" t="str">
        <f t="shared" ref="Z102:Z104" si="88">IF(X102&gt;0, "Not Completed",
   IF(T102=10, "First Class",
      IF(S102&gt;75, IF(V102&gt;0, "Ordinary Pass", "First Class"),
         IF(S102&gt;65, IF(V102&gt;0, "Ordinary Pass", "Second Class"), "none")
      )
   )
)</f>
        <v>Ordinary Pass</v>
      </c>
      <c r="AA102" s="12"/>
      <c r="AB102" s="47"/>
    </row>
    <row r="103" spans="2:28" ht="27" customHeight="1">
      <c r="B103" s="9">
        <v>96</v>
      </c>
      <c r="C103" s="16" t="s">
        <v>954</v>
      </c>
      <c r="D103" s="18" t="s">
        <v>136</v>
      </c>
      <c r="E103" s="15" t="s">
        <v>137</v>
      </c>
      <c r="F103" s="12">
        <v>56</v>
      </c>
      <c r="G103" s="12" t="str">
        <f t="shared" si="73"/>
        <v>C</v>
      </c>
      <c r="H103" s="12">
        <v>60</v>
      </c>
      <c r="I103" s="12" t="str">
        <f t="shared" si="74"/>
        <v>C</v>
      </c>
      <c r="J103" s="12">
        <v>41</v>
      </c>
      <c r="K103" s="12" t="str">
        <f t="shared" si="75"/>
        <v>S</v>
      </c>
      <c r="L103" s="12">
        <v>44</v>
      </c>
      <c r="M103" s="12" t="str">
        <f t="shared" si="76"/>
        <v>S</v>
      </c>
      <c r="N103" s="12">
        <v>63</v>
      </c>
      <c r="O103" s="12" t="str">
        <f t="shared" si="77"/>
        <v>C</v>
      </c>
      <c r="P103" s="12">
        <v>39</v>
      </c>
      <c r="Q103" s="12" t="str">
        <f t="shared" si="78"/>
        <v>S</v>
      </c>
      <c r="R103" s="12">
        <f t="shared" si="87"/>
        <v>303</v>
      </c>
      <c r="S103" s="12" t="str">
        <f t="shared" si="80"/>
        <v>51%</v>
      </c>
      <c r="T103" s="12">
        <f t="shared" si="81"/>
        <v>0</v>
      </c>
      <c r="U103" s="12">
        <f t="shared" si="82"/>
        <v>3</v>
      </c>
      <c r="V103" s="12">
        <f t="shared" si="83"/>
        <v>3</v>
      </c>
      <c r="W103" s="12">
        <f t="shared" si="84"/>
        <v>0</v>
      </c>
      <c r="X103" s="12">
        <f t="shared" si="85"/>
        <v>0</v>
      </c>
      <c r="Y103" s="19"/>
      <c r="Z103" s="15" t="str">
        <f t="shared" si="88"/>
        <v>Ordinary Pass</v>
      </c>
      <c r="AA103" s="12"/>
      <c r="AB103" s="47"/>
    </row>
    <row r="104" spans="2:28" ht="27" customHeight="1">
      <c r="B104" s="9">
        <v>97</v>
      </c>
      <c r="C104" s="16" t="s">
        <v>953</v>
      </c>
      <c r="D104" s="18" t="s">
        <v>138</v>
      </c>
      <c r="E104" s="15" t="s">
        <v>139</v>
      </c>
      <c r="F104" s="12">
        <v>50</v>
      </c>
      <c r="G104" s="12" t="str">
        <f t="shared" si="73"/>
        <v>S</v>
      </c>
      <c r="H104" s="12">
        <v>65</v>
      </c>
      <c r="I104" s="12" t="str">
        <f t="shared" si="74"/>
        <v>C</v>
      </c>
      <c r="J104" s="12">
        <v>43</v>
      </c>
      <c r="K104" s="12" t="str">
        <f t="shared" si="75"/>
        <v>S</v>
      </c>
      <c r="L104" s="12">
        <v>46</v>
      </c>
      <c r="M104" s="12" t="str">
        <f t="shared" si="76"/>
        <v>S</v>
      </c>
      <c r="N104" s="12">
        <v>51</v>
      </c>
      <c r="O104" s="12" t="str">
        <f t="shared" si="77"/>
        <v>S</v>
      </c>
      <c r="P104" s="12">
        <v>47</v>
      </c>
      <c r="Q104" s="12" t="str">
        <f t="shared" si="78"/>
        <v>S</v>
      </c>
      <c r="R104" s="12">
        <f t="shared" si="87"/>
        <v>302</v>
      </c>
      <c r="S104" s="12" t="str">
        <f t="shared" si="80"/>
        <v>50%</v>
      </c>
      <c r="T104" s="12">
        <f t="shared" si="81"/>
        <v>0</v>
      </c>
      <c r="U104" s="12">
        <f t="shared" si="82"/>
        <v>1</v>
      </c>
      <c r="V104" s="12">
        <f t="shared" si="83"/>
        <v>4</v>
      </c>
      <c r="W104" s="12">
        <f t="shared" si="84"/>
        <v>0</v>
      </c>
      <c r="X104" s="12">
        <f t="shared" si="85"/>
        <v>0</v>
      </c>
      <c r="Y104" s="19"/>
      <c r="Z104" s="15" t="str">
        <f t="shared" si="88"/>
        <v>Ordinary Pass</v>
      </c>
      <c r="AA104" s="12"/>
      <c r="AB104" s="47"/>
    </row>
    <row r="105" spans="2:28" ht="27" customHeight="1">
      <c r="B105" s="9">
        <v>98</v>
      </c>
      <c r="C105" s="16" t="s">
        <v>952</v>
      </c>
      <c r="D105" s="18">
        <v>198960601003</v>
      </c>
      <c r="E105" s="15" t="s">
        <v>140</v>
      </c>
      <c r="F105" s="12">
        <v>62</v>
      </c>
      <c r="G105" s="12" t="str">
        <f t="shared" si="73"/>
        <v>C</v>
      </c>
      <c r="H105" s="12">
        <v>58</v>
      </c>
      <c r="I105" s="12" t="str">
        <f t="shared" si="74"/>
        <v>C</v>
      </c>
      <c r="J105" s="12">
        <v>36</v>
      </c>
      <c r="K105" s="12" t="str">
        <f t="shared" si="75"/>
        <v>S</v>
      </c>
      <c r="L105" s="12">
        <v>48</v>
      </c>
      <c r="M105" s="12" t="str">
        <f t="shared" si="76"/>
        <v>S</v>
      </c>
      <c r="N105" s="12">
        <v>35</v>
      </c>
      <c r="O105" s="12" t="str">
        <f t="shared" si="77"/>
        <v>S</v>
      </c>
      <c r="P105" s="12">
        <v>37</v>
      </c>
      <c r="Q105" s="12" t="str">
        <f t="shared" si="78"/>
        <v>S</v>
      </c>
      <c r="R105" s="12">
        <f t="shared" si="87"/>
        <v>276</v>
      </c>
      <c r="S105" s="12" t="str">
        <f t="shared" si="80"/>
        <v>46%</v>
      </c>
      <c r="T105" s="12">
        <f t="shared" si="81"/>
        <v>0</v>
      </c>
      <c r="U105" s="12">
        <f t="shared" si="82"/>
        <v>2</v>
      </c>
      <c r="V105" s="12">
        <f t="shared" si="83"/>
        <v>4</v>
      </c>
      <c r="W105" s="12">
        <f t="shared" si="84"/>
        <v>0</v>
      </c>
      <c r="X105" s="12">
        <f t="shared" si="85"/>
        <v>0</v>
      </c>
      <c r="Y105" s="19"/>
      <c r="Z105" s="15" t="s">
        <v>9</v>
      </c>
      <c r="AA105" s="12"/>
      <c r="AB105" s="47"/>
    </row>
    <row r="106" spans="2:28" ht="27" customHeight="1">
      <c r="B106" s="9">
        <v>99</v>
      </c>
      <c r="C106" s="16" t="s">
        <v>951</v>
      </c>
      <c r="D106" s="18" t="s">
        <v>141</v>
      </c>
      <c r="E106" s="15" t="s">
        <v>142</v>
      </c>
      <c r="F106" s="12">
        <v>31</v>
      </c>
      <c r="G106" s="12" t="str">
        <f t="shared" si="73"/>
        <v>F</v>
      </c>
      <c r="H106" s="12">
        <v>78</v>
      </c>
      <c r="I106" s="12" t="str">
        <f t="shared" si="74"/>
        <v>D</v>
      </c>
      <c r="J106" s="12">
        <v>59</v>
      </c>
      <c r="K106" s="12" t="str">
        <f t="shared" si="75"/>
        <v>C</v>
      </c>
      <c r="L106" s="12">
        <v>44</v>
      </c>
      <c r="M106" s="12" t="str">
        <f t="shared" si="76"/>
        <v>S</v>
      </c>
      <c r="N106" s="12">
        <v>76</v>
      </c>
      <c r="O106" s="12" t="str">
        <f t="shared" si="77"/>
        <v>D</v>
      </c>
      <c r="P106" s="12">
        <v>50</v>
      </c>
      <c r="Q106" s="12" t="str">
        <f t="shared" si="78"/>
        <v>S</v>
      </c>
      <c r="R106" s="12">
        <f t="shared" si="87"/>
        <v>338</v>
      </c>
      <c r="S106" s="12" t="str">
        <f t="shared" si="80"/>
        <v>56%</v>
      </c>
      <c r="T106" s="12">
        <f t="shared" si="81"/>
        <v>2</v>
      </c>
      <c r="U106" s="12">
        <f t="shared" si="82"/>
        <v>1</v>
      </c>
      <c r="V106" s="12">
        <f t="shared" si="83"/>
        <v>2</v>
      </c>
      <c r="W106" s="12">
        <f t="shared" si="84"/>
        <v>0</v>
      </c>
      <c r="X106" s="12">
        <f t="shared" si="85"/>
        <v>0</v>
      </c>
      <c r="Y106" s="19"/>
      <c r="Z106" s="15" t="s">
        <v>6</v>
      </c>
      <c r="AA106" s="12" t="s">
        <v>143</v>
      </c>
      <c r="AB106" s="47"/>
    </row>
    <row r="107" spans="2:28" ht="27" customHeight="1">
      <c r="B107" s="9">
        <v>100</v>
      </c>
      <c r="C107" s="16" t="s">
        <v>950</v>
      </c>
      <c r="D107" s="18">
        <v>198454400557</v>
      </c>
      <c r="E107" s="15" t="s">
        <v>144</v>
      </c>
      <c r="F107" s="12">
        <v>49</v>
      </c>
      <c r="G107" s="12" t="str">
        <f t="shared" si="73"/>
        <v>S</v>
      </c>
      <c r="H107" s="12">
        <v>63</v>
      </c>
      <c r="I107" s="12" t="str">
        <f t="shared" si="74"/>
        <v>C</v>
      </c>
      <c r="J107" s="12">
        <v>67</v>
      </c>
      <c r="K107" s="12" t="str">
        <f t="shared" si="75"/>
        <v>C</v>
      </c>
      <c r="L107" s="12">
        <v>43</v>
      </c>
      <c r="M107" s="12" t="str">
        <f t="shared" si="76"/>
        <v>S</v>
      </c>
      <c r="N107" s="12">
        <v>46</v>
      </c>
      <c r="O107" s="12" t="str">
        <f t="shared" si="77"/>
        <v>S</v>
      </c>
      <c r="P107" s="12">
        <v>41</v>
      </c>
      <c r="Q107" s="12" t="str">
        <f t="shared" si="78"/>
        <v>S</v>
      </c>
      <c r="R107" s="12">
        <f t="shared" si="87"/>
        <v>309</v>
      </c>
      <c r="S107" s="12" t="str">
        <f t="shared" si="80"/>
        <v>52%</v>
      </c>
      <c r="T107" s="12">
        <f t="shared" si="81"/>
        <v>0</v>
      </c>
      <c r="U107" s="12">
        <f t="shared" si="82"/>
        <v>2</v>
      </c>
      <c r="V107" s="12">
        <f t="shared" si="83"/>
        <v>3</v>
      </c>
      <c r="W107" s="12">
        <f t="shared" si="84"/>
        <v>0</v>
      </c>
      <c r="X107" s="12">
        <f t="shared" si="85"/>
        <v>0</v>
      </c>
      <c r="Y107" s="19"/>
      <c r="Z107" s="15" t="str">
        <f t="shared" ref="Z107" si="89">IF(X107&gt;0, "Not Completed",
   IF(T107=10, "First Class",
      IF(S107&gt;75, IF(V107&gt;0, "Ordinary Pass", "First Class"),
         IF(S107&gt;65, IF(V107&gt;0, "Ordinary Pass", "Second Class"), "none")
      )
   )
)</f>
        <v>Ordinary Pass</v>
      </c>
      <c r="AA107" s="12"/>
      <c r="AB107" s="47"/>
    </row>
    <row r="108" spans="2:28" ht="27" customHeight="1">
      <c r="B108" s="9">
        <v>101</v>
      </c>
      <c r="C108" s="16" t="s">
        <v>949</v>
      </c>
      <c r="D108" s="18" t="s">
        <v>145</v>
      </c>
      <c r="E108" s="15" t="s">
        <v>146</v>
      </c>
      <c r="F108" s="12">
        <v>50</v>
      </c>
      <c r="G108" s="12" t="str">
        <f t="shared" ref="G108:G115" si="90">IF(F108="-", "AB", IF(F108&gt;=75, "D", IF(F108&gt;=55, "C", IF(F108&gt;=35, "S", IF(F108&gt;=0, "F")))))</f>
        <v>S</v>
      </c>
      <c r="H108" s="12">
        <v>46</v>
      </c>
      <c r="I108" s="12" t="str">
        <f t="shared" ref="I108:I127" si="91">IF(H108="-", "AB", IF(H108&gt;=75, "D", IF(H108&gt;=55, "C", IF(H108&gt;=35, "S", IF(H108&gt;=0, "F")))))</f>
        <v>S</v>
      </c>
      <c r="J108" s="12">
        <v>27</v>
      </c>
      <c r="K108" s="12" t="str">
        <f t="shared" ref="K108:K127" si="92">IF(J108="-", "AB", IF(J108&gt;=75, "D", IF(J108&gt;=55, "C", IF(J108&gt;=35, "S", IF(J108&gt;=0, "F")))))</f>
        <v>F</v>
      </c>
      <c r="L108" s="12">
        <v>49</v>
      </c>
      <c r="M108" s="12" t="str">
        <f t="shared" ref="M108:M127" si="93">IF(L108="-", "AB", IF(L108&gt;=75, "D", IF(L108&gt;=55, "C", IF(L108&gt;=35, "S", IF(L108&gt;=0, "F")))))</f>
        <v>S</v>
      </c>
      <c r="N108" s="12">
        <v>41</v>
      </c>
      <c r="O108" s="12" t="str">
        <f t="shared" ref="O108:O127" si="94">IF(N108="-", "AB", IF(N108&gt;=75, "D", IF(N108&gt;=55, "C", IF(N108&gt;=35, "S", IF(N108&gt;=0, "F")))))</f>
        <v>S</v>
      </c>
      <c r="P108" s="12">
        <v>41</v>
      </c>
      <c r="Q108" s="12" t="str">
        <f t="shared" ref="Q108:Q127" si="95">IF(P108="-", "AB", IF(P108&gt;=75, "D", IF(P108&gt;=55, "C", IF(P108&gt;=35, "S", IF(P108&gt;=0, "F")))))</f>
        <v>S</v>
      </c>
      <c r="R108" s="12">
        <f t="shared" ref="R108:R115" si="96">SUM(F108+H108+J108+L108+N108+P108)</f>
        <v>254</v>
      </c>
      <c r="S108" s="12" t="str">
        <f t="shared" ref="S108:S127" si="97">ROUND(R108/6, 0)&amp;"%"</f>
        <v>42%</v>
      </c>
      <c r="T108" s="12">
        <f t="shared" ref="T108:T127" si="98">COUNTIF(F108:Q108, "D")</f>
        <v>0</v>
      </c>
      <c r="U108" s="12">
        <f t="shared" ref="U108:U127" si="99">COUNTIF(G108:T108, "C")</f>
        <v>0</v>
      </c>
      <c r="V108" s="12">
        <f t="shared" ref="V108:V127" si="100">COUNTIF(H108:U108, "S")</f>
        <v>4</v>
      </c>
      <c r="W108" s="12">
        <f t="shared" ref="W108:W127" si="101">COUNTIF(I108:V108, "F")</f>
        <v>1</v>
      </c>
      <c r="X108" s="12">
        <f t="shared" ref="X108:X127" si="102">COUNTIF(F108:W108, "-")</f>
        <v>0</v>
      </c>
      <c r="Y108" s="19"/>
      <c r="Z108" s="15" t="s">
        <v>6</v>
      </c>
      <c r="AA108" s="12" t="s">
        <v>84</v>
      </c>
      <c r="AB108" s="47"/>
    </row>
    <row r="109" spans="2:28" ht="27" customHeight="1">
      <c r="B109" s="9">
        <v>102</v>
      </c>
      <c r="C109" s="16" t="s">
        <v>948</v>
      </c>
      <c r="D109" s="18">
        <v>198954500545</v>
      </c>
      <c r="E109" s="15" t="s">
        <v>147</v>
      </c>
      <c r="F109" s="12">
        <v>61</v>
      </c>
      <c r="G109" s="12" t="str">
        <f t="shared" si="90"/>
        <v>C</v>
      </c>
      <c r="H109" s="12">
        <v>41</v>
      </c>
      <c r="I109" s="12" t="str">
        <f t="shared" si="91"/>
        <v>S</v>
      </c>
      <c r="J109" s="12">
        <v>43</v>
      </c>
      <c r="K109" s="12" t="str">
        <f t="shared" si="92"/>
        <v>S</v>
      </c>
      <c r="L109" s="12">
        <v>35</v>
      </c>
      <c r="M109" s="12" t="str">
        <f t="shared" si="93"/>
        <v>S</v>
      </c>
      <c r="N109" s="12">
        <v>42</v>
      </c>
      <c r="O109" s="12" t="str">
        <f t="shared" si="94"/>
        <v>S</v>
      </c>
      <c r="P109" s="12">
        <v>42</v>
      </c>
      <c r="Q109" s="12" t="str">
        <f t="shared" si="95"/>
        <v>S</v>
      </c>
      <c r="R109" s="12">
        <f t="shared" si="96"/>
        <v>264</v>
      </c>
      <c r="S109" s="12" t="str">
        <f t="shared" si="97"/>
        <v>44%</v>
      </c>
      <c r="T109" s="12">
        <f t="shared" si="98"/>
        <v>0</v>
      </c>
      <c r="U109" s="12">
        <f t="shared" si="99"/>
        <v>1</v>
      </c>
      <c r="V109" s="12">
        <f t="shared" si="100"/>
        <v>5</v>
      </c>
      <c r="W109" s="12">
        <f t="shared" si="101"/>
        <v>0</v>
      </c>
      <c r="X109" s="12">
        <f t="shared" si="102"/>
        <v>0</v>
      </c>
      <c r="Y109" s="19"/>
      <c r="Z109" s="15" t="s">
        <v>9</v>
      </c>
      <c r="AA109" s="12"/>
      <c r="AB109" s="47"/>
    </row>
    <row r="110" spans="2:28" ht="27" customHeight="1">
      <c r="B110" s="9">
        <v>103</v>
      </c>
      <c r="C110" s="16" t="s">
        <v>947</v>
      </c>
      <c r="D110" s="18" t="s">
        <v>148</v>
      </c>
      <c r="E110" s="15" t="s">
        <v>149</v>
      </c>
      <c r="F110" s="12">
        <v>61</v>
      </c>
      <c r="G110" s="12" t="str">
        <f t="shared" si="90"/>
        <v>C</v>
      </c>
      <c r="H110" s="12">
        <v>74</v>
      </c>
      <c r="I110" s="12" t="str">
        <f t="shared" si="91"/>
        <v>C</v>
      </c>
      <c r="J110" s="12">
        <v>44</v>
      </c>
      <c r="K110" s="12" t="str">
        <f t="shared" si="92"/>
        <v>S</v>
      </c>
      <c r="L110" s="12">
        <v>48</v>
      </c>
      <c r="M110" s="12" t="str">
        <f t="shared" si="93"/>
        <v>S</v>
      </c>
      <c r="N110" s="12">
        <v>61</v>
      </c>
      <c r="O110" s="12" t="str">
        <f t="shared" si="94"/>
        <v>C</v>
      </c>
      <c r="P110" s="12">
        <v>62</v>
      </c>
      <c r="Q110" s="12" t="str">
        <f t="shared" si="95"/>
        <v>C</v>
      </c>
      <c r="R110" s="12">
        <f t="shared" si="96"/>
        <v>350</v>
      </c>
      <c r="S110" s="12" t="str">
        <f t="shared" si="97"/>
        <v>58%</v>
      </c>
      <c r="T110" s="12">
        <f t="shared" si="98"/>
        <v>0</v>
      </c>
      <c r="U110" s="12">
        <f t="shared" si="99"/>
        <v>4</v>
      </c>
      <c r="V110" s="12">
        <f t="shared" si="100"/>
        <v>2</v>
      </c>
      <c r="W110" s="12">
        <f t="shared" si="101"/>
        <v>0</v>
      </c>
      <c r="X110" s="12">
        <f t="shared" si="102"/>
        <v>0</v>
      </c>
      <c r="Y110" s="19"/>
      <c r="Z110" s="15" t="str">
        <f t="shared" ref="Z110:Z113" si="103">IF(X110&gt;0, "Not Completed",
   IF(T110=10, "First Class",
      IF(S110&gt;75, IF(V110&gt;0, "Ordinary Pass", "First Class"),
         IF(S110&gt;65, IF(V110&gt;0, "Ordinary Pass", "Second Class"), "none")
      )
   )
)</f>
        <v>Ordinary Pass</v>
      </c>
      <c r="AA110" s="12"/>
      <c r="AB110" s="47"/>
    </row>
    <row r="111" spans="2:28" ht="27" customHeight="1">
      <c r="B111" s="9">
        <v>104</v>
      </c>
      <c r="C111" s="16" t="s">
        <v>946</v>
      </c>
      <c r="D111" s="18">
        <v>198757703798</v>
      </c>
      <c r="E111" s="15" t="s">
        <v>150</v>
      </c>
      <c r="F111" s="12" t="s">
        <v>14</v>
      </c>
      <c r="G111" s="12" t="str">
        <f t="shared" si="90"/>
        <v>AB</v>
      </c>
      <c r="H111" s="12" t="s">
        <v>14</v>
      </c>
      <c r="I111" s="12" t="str">
        <f t="shared" si="91"/>
        <v>AB</v>
      </c>
      <c r="J111" s="12" t="s">
        <v>14</v>
      </c>
      <c r="K111" s="12" t="str">
        <f t="shared" si="92"/>
        <v>AB</v>
      </c>
      <c r="L111" s="12" t="s">
        <v>14</v>
      </c>
      <c r="M111" s="12" t="str">
        <f t="shared" si="93"/>
        <v>AB</v>
      </c>
      <c r="N111" s="12" t="s">
        <v>14</v>
      </c>
      <c r="O111" s="12" t="str">
        <f t="shared" si="94"/>
        <v>AB</v>
      </c>
      <c r="P111" s="12" t="s">
        <v>14</v>
      </c>
      <c r="Q111" s="12" t="str">
        <f t="shared" si="95"/>
        <v>AB</v>
      </c>
      <c r="R111" s="12">
        <v>0</v>
      </c>
      <c r="S111" s="12" t="str">
        <f t="shared" si="97"/>
        <v>0%</v>
      </c>
      <c r="T111" s="12">
        <f t="shared" si="98"/>
        <v>0</v>
      </c>
      <c r="U111" s="12">
        <f t="shared" si="99"/>
        <v>0</v>
      </c>
      <c r="V111" s="12">
        <f t="shared" si="100"/>
        <v>0</v>
      </c>
      <c r="W111" s="12">
        <f t="shared" si="101"/>
        <v>0</v>
      </c>
      <c r="X111" s="12">
        <f t="shared" si="102"/>
        <v>6</v>
      </c>
      <c r="Y111" s="19"/>
      <c r="Z111" s="15" t="s">
        <v>7</v>
      </c>
      <c r="AA111" s="12"/>
      <c r="AB111" s="47"/>
    </row>
    <row r="112" spans="2:28" ht="27" customHeight="1">
      <c r="B112" s="9">
        <v>105</v>
      </c>
      <c r="C112" s="16" t="s">
        <v>151</v>
      </c>
      <c r="D112" s="18" t="s">
        <v>152</v>
      </c>
      <c r="E112" s="15" t="s">
        <v>153</v>
      </c>
      <c r="F112" s="12">
        <v>57</v>
      </c>
      <c r="G112" s="12" t="str">
        <f t="shared" si="90"/>
        <v>C</v>
      </c>
      <c r="H112" s="12">
        <v>70</v>
      </c>
      <c r="I112" s="12" t="str">
        <f t="shared" si="91"/>
        <v>C</v>
      </c>
      <c r="J112" s="12">
        <v>64</v>
      </c>
      <c r="K112" s="12" t="str">
        <f t="shared" si="92"/>
        <v>C</v>
      </c>
      <c r="L112" s="12">
        <v>67</v>
      </c>
      <c r="M112" s="12" t="str">
        <f t="shared" si="93"/>
        <v>C</v>
      </c>
      <c r="N112" s="12">
        <v>55</v>
      </c>
      <c r="O112" s="12" t="str">
        <f t="shared" si="94"/>
        <v>C</v>
      </c>
      <c r="P112" s="12">
        <v>49</v>
      </c>
      <c r="Q112" s="12" t="str">
        <f t="shared" si="95"/>
        <v>S</v>
      </c>
      <c r="R112" s="12">
        <f t="shared" si="96"/>
        <v>362</v>
      </c>
      <c r="S112" s="12" t="str">
        <f t="shared" si="97"/>
        <v>60%</v>
      </c>
      <c r="T112" s="12">
        <f t="shared" si="98"/>
        <v>0</v>
      </c>
      <c r="U112" s="12">
        <f t="shared" si="99"/>
        <v>5</v>
      </c>
      <c r="V112" s="12">
        <f t="shared" si="100"/>
        <v>1</v>
      </c>
      <c r="W112" s="12">
        <f t="shared" si="101"/>
        <v>0</v>
      </c>
      <c r="X112" s="12">
        <f t="shared" si="102"/>
        <v>0</v>
      </c>
      <c r="Y112" s="19"/>
      <c r="Z112" s="15" t="str">
        <f t="shared" si="103"/>
        <v>Ordinary Pass</v>
      </c>
      <c r="AA112" s="12"/>
      <c r="AB112" s="47"/>
    </row>
    <row r="113" spans="2:28" ht="27" customHeight="1">
      <c r="B113" s="9">
        <v>106</v>
      </c>
      <c r="C113" s="16" t="s">
        <v>945</v>
      </c>
      <c r="D113" s="18" t="s">
        <v>154</v>
      </c>
      <c r="E113" s="15" t="s">
        <v>155</v>
      </c>
      <c r="F113" s="12">
        <v>76</v>
      </c>
      <c r="G113" s="12" t="str">
        <f t="shared" si="90"/>
        <v>D</v>
      </c>
      <c r="H113" s="12">
        <v>85</v>
      </c>
      <c r="I113" s="12" t="str">
        <f t="shared" si="91"/>
        <v>D</v>
      </c>
      <c r="J113" s="12">
        <v>46</v>
      </c>
      <c r="K113" s="12" t="str">
        <f t="shared" si="92"/>
        <v>S</v>
      </c>
      <c r="L113" s="12">
        <v>80</v>
      </c>
      <c r="M113" s="12" t="str">
        <f t="shared" si="93"/>
        <v>D</v>
      </c>
      <c r="N113" s="12">
        <v>63</v>
      </c>
      <c r="O113" s="12" t="str">
        <f t="shared" si="94"/>
        <v>C</v>
      </c>
      <c r="P113" s="12">
        <v>50</v>
      </c>
      <c r="Q113" s="12" t="str">
        <f t="shared" si="95"/>
        <v>S</v>
      </c>
      <c r="R113" s="12">
        <f t="shared" si="96"/>
        <v>400</v>
      </c>
      <c r="S113" s="12" t="str">
        <f t="shared" si="97"/>
        <v>67%</v>
      </c>
      <c r="T113" s="12">
        <f t="shared" si="98"/>
        <v>3</v>
      </c>
      <c r="U113" s="12">
        <f t="shared" si="99"/>
        <v>1</v>
      </c>
      <c r="V113" s="12">
        <f t="shared" si="100"/>
        <v>2</v>
      </c>
      <c r="W113" s="12">
        <f t="shared" si="101"/>
        <v>0</v>
      </c>
      <c r="X113" s="12">
        <f t="shared" si="102"/>
        <v>0</v>
      </c>
      <c r="Y113" s="19"/>
      <c r="Z113" s="15" t="str">
        <f t="shared" si="103"/>
        <v>Ordinary Pass</v>
      </c>
      <c r="AA113" s="12"/>
      <c r="AB113" s="47"/>
    </row>
    <row r="114" spans="2:28" ht="27" customHeight="1">
      <c r="B114" s="9">
        <v>107</v>
      </c>
      <c r="C114" s="16" t="s">
        <v>944</v>
      </c>
      <c r="D114" s="18" t="s">
        <v>156</v>
      </c>
      <c r="E114" s="15" t="s">
        <v>157</v>
      </c>
      <c r="F114" s="12" t="s">
        <v>14</v>
      </c>
      <c r="G114" s="12" t="str">
        <f t="shared" si="90"/>
        <v>AB</v>
      </c>
      <c r="H114" s="12" t="s">
        <v>14</v>
      </c>
      <c r="I114" s="12" t="str">
        <f t="shared" si="91"/>
        <v>AB</v>
      </c>
      <c r="J114" s="12" t="s">
        <v>14</v>
      </c>
      <c r="K114" s="12" t="str">
        <f t="shared" si="92"/>
        <v>AB</v>
      </c>
      <c r="L114" s="12" t="s">
        <v>14</v>
      </c>
      <c r="M114" s="12" t="str">
        <f t="shared" si="93"/>
        <v>AB</v>
      </c>
      <c r="N114" s="12" t="s">
        <v>14</v>
      </c>
      <c r="O114" s="12" t="str">
        <f t="shared" si="94"/>
        <v>AB</v>
      </c>
      <c r="P114" s="12" t="s">
        <v>14</v>
      </c>
      <c r="Q114" s="12" t="str">
        <f t="shared" si="95"/>
        <v>AB</v>
      </c>
      <c r="R114" s="12">
        <v>0</v>
      </c>
      <c r="S114" s="12" t="str">
        <f t="shared" si="97"/>
        <v>0%</v>
      </c>
      <c r="T114" s="12">
        <f t="shared" si="98"/>
        <v>0</v>
      </c>
      <c r="U114" s="12">
        <f t="shared" si="99"/>
        <v>0</v>
      </c>
      <c r="V114" s="12">
        <f t="shared" si="100"/>
        <v>0</v>
      </c>
      <c r="W114" s="12">
        <f t="shared" si="101"/>
        <v>0</v>
      </c>
      <c r="X114" s="12">
        <f t="shared" si="102"/>
        <v>6</v>
      </c>
      <c r="Y114" s="19"/>
      <c r="Z114" s="15" t="s">
        <v>7</v>
      </c>
      <c r="AA114" s="12"/>
      <c r="AB114" s="47"/>
    </row>
    <row r="115" spans="2:28" ht="27" customHeight="1">
      <c r="B115" s="9">
        <v>108</v>
      </c>
      <c r="C115" s="16" t="s">
        <v>943</v>
      </c>
      <c r="D115" s="18" t="s">
        <v>158</v>
      </c>
      <c r="E115" s="15" t="s">
        <v>159</v>
      </c>
      <c r="F115" s="12">
        <v>34</v>
      </c>
      <c r="G115" s="12" t="str">
        <f t="shared" si="90"/>
        <v>F</v>
      </c>
      <c r="H115" s="12">
        <v>71</v>
      </c>
      <c r="I115" s="12" t="str">
        <f t="shared" si="91"/>
        <v>C</v>
      </c>
      <c r="J115" s="12">
        <v>15</v>
      </c>
      <c r="K115" s="12" t="str">
        <f t="shared" si="92"/>
        <v>F</v>
      </c>
      <c r="L115" s="12">
        <v>38</v>
      </c>
      <c r="M115" s="12" t="str">
        <f t="shared" si="93"/>
        <v>S</v>
      </c>
      <c r="N115" s="12">
        <v>45</v>
      </c>
      <c r="O115" s="12" t="str">
        <f t="shared" si="94"/>
        <v>S</v>
      </c>
      <c r="P115" s="12">
        <v>47</v>
      </c>
      <c r="Q115" s="12" t="str">
        <f t="shared" si="95"/>
        <v>S</v>
      </c>
      <c r="R115" s="12">
        <f t="shared" si="96"/>
        <v>250</v>
      </c>
      <c r="S115" s="12" t="str">
        <f t="shared" si="97"/>
        <v>42%</v>
      </c>
      <c r="T115" s="12">
        <f t="shared" si="98"/>
        <v>0</v>
      </c>
      <c r="U115" s="12">
        <f t="shared" si="99"/>
        <v>1</v>
      </c>
      <c r="V115" s="12">
        <f t="shared" si="100"/>
        <v>3</v>
      </c>
      <c r="W115" s="12">
        <f t="shared" si="101"/>
        <v>1</v>
      </c>
      <c r="X115" s="12">
        <f t="shared" si="102"/>
        <v>0</v>
      </c>
      <c r="Y115" s="19"/>
      <c r="Z115" s="15" t="s">
        <v>6</v>
      </c>
      <c r="AA115" s="12" t="s">
        <v>28</v>
      </c>
      <c r="AB115" s="47"/>
    </row>
    <row r="116" spans="2:28" ht="27" customHeight="1">
      <c r="B116" s="9">
        <v>109</v>
      </c>
      <c r="C116" s="16" t="s">
        <v>942</v>
      </c>
      <c r="D116" s="17">
        <v>200482501868</v>
      </c>
      <c r="E116" s="15" t="s">
        <v>160</v>
      </c>
      <c r="F116" s="1" t="s">
        <v>14</v>
      </c>
      <c r="G116" s="12" t="str">
        <f>IF(F116="-", "AB", IF(F116&gt;=75, "D", IF(F116&gt;=55, "C", IF(F116&gt;=35, "S", IF(F116&gt;=0, "F")))))</f>
        <v>AB</v>
      </c>
      <c r="H116" s="12" t="s">
        <v>14</v>
      </c>
      <c r="I116" s="12" t="str">
        <f t="shared" si="91"/>
        <v>AB</v>
      </c>
      <c r="J116" s="12" t="s">
        <v>14</v>
      </c>
      <c r="K116" s="12" t="str">
        <f t="shared" si="92"/>
        <v>AB</v>
      </c>
      <c r="L116" s="12" t="s">
        <v>14</v>
      </c>
      <c r="M116" s="12" t="str">
        <f t="shared" si="93"/>
        <v>AB</v>
      </c>
      <c r="N116" s="12" t="s">
        <v>14</v>
      </c>
      <c r="O116" s="12" t="str">
        <f t="shared" si="94"/>
        <v>AB</v>
      </c>
      <c r="P116" s="12" t="s">
        <v>14</v>
      </c>
      <c r="Q116" s="12" t="str">
        <f t="shared" si="95"/>
        <v>AB</v>
      </c>
      <c r="R116" s="12">
        <v>0</v>
      </c>
      <c r="S116" s="12" t="str">
        <f t="shared" si="97"/>
        <v>0%</v>
      </c>
      <c r="T116" s="12">
        <f t="shared" si="98"/>
        <v>0</v>
      </c>
      <c r="U116" s="12">
        <f t="shared" si="99"/>
        <v>0</v>
      </c>
      <c r="V116" s="12">
        <f t="shared" si="100"/>
        <v>0</v>
      </c>
      <c r="W116" s="12">
        <f t="shared" si="101"/>
        <v>0</v>
      </c>
      <c r="X116" s="12">
        <f t="shared" si="102"/>
        <v>6</v>
      </c>
      <c r="Y116" s="19"/>
      <c r="Z116" s="15" t="s">
        <v>7</v>
      </c>
      <c r="AA116" s="12"/>
      <c r="AB116" s="47"/>
    </row>
    <row r="117" spans="2:28" ht="27" customHeight="1">
      <c r="B117" s="9">
        <v>110</v>
      </c>
      <c r="C117" s="16" t="s">
        <v>941</v>
      </c>
      <c r="D117" s="18">
        <v>200169601863</v>
      </c>
      <c r="E117" s="15" t="s">
        <v>161</v>
      </c>
      <c r="F117" s="12" t="s">
        <v>14</v>
      </c>
      <c r="G117" s="12" t="str">
        <f t="shared" ref="G117:G127" si="104">IF(F117="-", "AB", IF(F117&gt;=75, "D", IF(F117&gt;=55, "C", IF(F117&gt;=35, "S", IF(F117&gt;=0, "F")))))</f>
        <v>AB</v>
      </c>
      <c r="H117" s="12" t="s">
        <v>14</v>
      </c>
      <c r="I117" s="12" t="str">
        <f t="shared" si="91"/>
        <v>AB</v>
      </c>
      <c r="J117" s="12" t="s">
        <v>14</v>
      </c>
      <c r="K117" s="12" t="str">
        <f t="shared" si="92"/>
        <v>AB</v>
      </c>
      <c r="L117" s="12" t="s">
        <v>14</v>
      </c>
      <c r="M117" s="12" t="str">
        <f t="shared" si="93"/>
        <v>AB</v>
      </c>
      <c r="N117" s="12" t="s">
        <v>14</v>
      </c>
      <c r="O117" s="12" t="str">
        <f t="shared" si="94"/>
        <v>AB</v>
      </c>
      <c r="P117" s="12" t="s">
        <v>14</v>
      </c>
      <c r="Q117" s="12" t="str">
        <f t="shared" si="95"/>
        <v>AB</v>
      </c>
      <c r="R117" s="12">
        <v>0</v>
      </c>
      <c r="S117" s="12" t="str">
        <f t="shared" si="97"/>
        <v>0%</v>
      </c>
      <c r="T117" s="12">
        <f t="shared" si="98"/>
        <v>0</v>
      </c>
      <c r="U117" s="12">
        <f t="shared" si="99"/>
        <v>0</v>
      </c>
      <c r="V117" s="12">
        <f t="shared" si="100"/>
        <v>0</v>
      </c>
      <c r="W117" s="12">
        <f t="shared" si="101"/>
        <v>0</v>
      </c>
      <c r="X117" s="12">
        <f t="shared" si="102"/>
        <v>6</v>
      </c>
      <c r="Y117" s="19"/>
      <c r="Z117" s="15" t="s">
        <v>7</v>
      </c>
      <c r="AA117" s="12"/>
      <c r="AB117" s="47"/>
    </row>
    <row r="118" spans="2:28" ht="27" customHeight="1">
      <c r="B118" s="9">
        <v>111</v>
      </c>
      <c r="C118" s="16" t="s">
        <v>940</v>
      </c>
      <c r="D118" s="18" t="s">
        <v>162</v>
      </c>
      <c r="E118" s="15" t="s">
        <v>163</v>
      </c>
      <c r="F118" s="12">
        <v>37</v>
      </c>
      <c r="G118" s="12" t="str">
        <f t="shared" si="104"/>
        <v>S</v>
      </c>
      <c r="H118" s="12">
        <v>38</v>
      </c>
      <c r="I118" s="12" t="str">
        <f t="shared" si="91"/>
        <v>S</v>
      </c>
      <c r="J118" s="12">
        <v>16</v>
      </c>
      <c r="K118" s="12" t="str">
        <f t="shared" si="92"/>
        <v>F</v>
      </c>
      <c r="L118" s="12">
        <v>35</v>
      </c>
      <c r="M118" s="12" t="str">
        <f t="shared" si="93"/>
        <v>S</v>
      </c>
      <c r="N118" s="12">
        <v>43</v>
      </c>
      <c r="O118" s="12" t="str">
        <f t="shared" si="94"/>
        <v>S</v>
      </c>
      <c r="P118" s="12">
        <v>35</v>
      </c>
      <c r="Q118" s="12" t="str">
        <f t="shared" si="95"/>
        <v>S</v>
      </c>
      <c r="R118" s="12">
        <f t="shared" ref="R118:R124" si="105">SUM(F118+H118+J118+L118+N118+P118)</f>
        <v>204</v>
      </c>
      <c r="S118" s="12" t="str">
        <f t="shared" si="97"/>
        <v>34%</v>
      </c>
      <c r="T118" s="12">
        <f t="shared" si="98"/>
        <v>0</v>
      </c>
      <c r="U118" s="12">
        <f t="shared" si="99"/>
        <v>0</v>
      </c>
      <c r="V118" s="12">
        <f t="shared" si="100"/>
        <v>4</v>
      </c>
      <c r="W118" s="12">
        <f t="shared" si="101"/>
        <v>1</v>
      </c>
      <c r="X118" s="12">
        <f t="shared" si="102"/>
        <v>0</v>
      </c>
      <c r="Y118" s="19"/>
      <c r="Z118" s="15" t="s">
        <v>6</v>
      </c>
      <c r="AA118" s="12" t="s">
        <v>84</v>
      </c>
      <c r="AB118" s="47"/>
    </row>
    <row r="119" spans="2:28" ht="27" customHeight="1">
      <c r="B119" s="9">
        <v>112</v>
      </c>
      <c r="C119" s="16" t="s">
        <v>939</v>
      </c>
      <c r="D119" s="18" t="s">
        <v>164</v>
      </c>
      <c r="E119" s="15" t="s">
        <v>165</v>
      </c>
      <c r="F119" s="12">
        <v>77</v>
      </c>
      <c r="G119" s="12" t="str">
        <f t="shared" si="104"/>
        <v>D</v>
      </c>
      <c r="H119" s="12">
        <v>74</v>
      </c>
      <c r="I119" s="12" t="str">
        <f t="shared" si="91"/>
        <v>C</v>
      </c>
      <c r="J119" s="12">
        <v>43</v>
      </c>
      <c r="K119" s="12" t="str">
        <f t="shared" si="92"/>
        <v>S</v>
      </c>
      <c r="L119" s="12">
        <v>53</v>
      </c>
      <c r="M119" s="12" t="str">
        <f t="shared" si="93"/>
        <v>S</v>
      </c>
      <c r="N119" s="12">
        <v>78</v>
      </c>
      <c r="O119" s="12" t="str">
        <f t="shared" si="94"/>
        <v>D</v>
      </c>
      <c r="P119" s="12">
        <v>65</v>
      </c>
      <c r="Q119" s="12" t="str">
        <f t="shared" si="95"/>
        <v>C</v>
      </c>
      <c r="R119" s="12">
        <f t="shared" si="105"/>
        <v>390</v>
      </c>
      <c r="S119" s="12" t="str">
        <f t="shared" si="97"/>
        <v>65%</v>
      </c>
      <c r="T119" s="12">
        <f t="shared" si="98"/>
        <v>2</v>
      </c>
      <c r="U119" s="12">
        <f t="shared" si="99"/>
        <v>2</v>
      </c>
      <c r="V119" s="12">
        <f t="shared" si="100"/>
        <v>2</v>
      </c>
      <c r="W119" s="12">
        <f t="shared" si="101"/>
        <v>0</v>
      </c>
      <c r="X119" s="12">
        <f t="shared" si="102"/>
        <v>0</v>
      </c>
      <c r="Y119" s="19"/>
      <c r="Z119" s="15" t="str">
        <f t="shared" ref="Z119:Z121" si="106">IF(X119&gt;0, "Not Completed",
   IF(T119=10, "First Class",
      IF(S119&gt;75, IF(V119&gt;0, "Ordinary Pass", "First Class"),
         IF(S119&gt;65, IF(V119&gt;0, "Ordinary Pass", "Second Class"), "none")
      )
   )
)</f>
        <v>Ordinary Pass</v>
      </c>
      <c r="AA119" s="12"/>
      <c r="AB119" s="47"/>
    </row>
    <row r="120" spans="2:28" ht="27" customHeight="1">
      <c r="B120" s="9">
        <v>113</v>
      </c>
      <c r="C120" s="16" t="s">
        <v>938</v>
      </c>
      <c r="D120" s="18" t="s">
        <v>164</v>
      </c>
      <c r="E120" s="15" t="s">
        <v>166</v>
      </c>
      <c r="F120" s="12" t="s">
        <v>14</v>
      </c>
      <c r="G120" s="12" t="str">
        <f t="shared" si="104"/>
        <v>AB</v>
      </c>
      <c r="H120" s="12" t="s">
        <v>14</v>
      </c>
      <c r="I120" s="12" t="str">
        <f t="shared" si="91"/>
        <v>AB</v>
      </c>
      <c r="J120" s="12" t="s">
        <v>14</v>
      </c>
      <c r="K120" s="12" t="str">
        <f t="shared" si="92"/>
        <v>AB</v>
      </c>
      <c r="L120" s="12" t="s">
        <v>14</v>
      </c>
      <c r="M120" s="12" t="str">
        <f t="shared" si="93"/>
        <v>AB</v>
      </c>
      <c r="N120" s="12" t="s">
        <v>14</v>
      </c>
      <c r="O120" s="12" t="str">
        <f t="shared" si="94"/>
        <v>AB</v>
      </c>
      <c r="P120" s="12" t="s">
        <v>14</v>
      </c>
      <c r="Q120" s="12" t="str">
        <f t="shared" si="95"/>
        <v>AB</v>
      </c>
      <c r="R120" s="12">
        <v>0</v>
      </c>
      <c r="S120" s="12" t="str">
        <f t="shared" si="97"/>
        <v>0%</v>
      </c>
      <c r="T120" s="12">
        <f t="shared" si="98"/>
        <v>0</v>
      </c>
      <c r="U120" s="12">
        <f t="shared" si="99"/>
        <v>0</v>
      </c>
      <c r="V120" s="12">
        <f t="shared" si="100"/>
        <v>0</v>
      </c>
      <c r="W120" s="12">
        <f t="shared" si="101"/>
        <v>0</v>
      </c>
      <c r="X120" s="12">
        <f t="shared" si="102"/>
        <v>6</v>
      </c>
      <c r="Y120" s="19"/>
      <c r="Z120" s="15" t="s">
        <v>7</v>
      </c>
      <c r="AA120" s="12"/>
      <c r="AB120" s="47"/>
    </row>
    <row r="121" spans="2:28" ht="27" customHeight="1">
      <c r="B121" s="9">
        <v>114</v>
      </c>
      <c r="C121" s="16" t="s">
        <v>937</v>
      </c>
      <c r="D121" s="18" t="s">
        <v>167</v>
      </c>
      <c r="E121" s="15" t="s">
        <v>168</v>
      </c>
      <c r="F121" s="12">
        <v>69</v>
      </c>
      <c r="G121" s="12" t="str">
        <f t="shared" si="104"/>
        <v>C</v>
      </c>
      <c r="H121" s="12">
        <v>63</v>
      </c>
      <c r="I121" s="12" t="str">
        <f t="shared" si="91"/>
        <v>C</v>
      </c>
      <c r="J121" s="12">
        <v>40</v>
      </c>
      <c r="K121" s="12" t="str">
        <f t="shared" si="92"/>
        <v>S</v>
      </c>
      <c r="L121" s="12">
        <v>60</v>
      </c>
      <c r="M121" s="12" t="str">
        <f t="shared" si="93"/>
        <v>C</v>
      </c>
      <c r="N121" s="12">
        <v>52</v>
      </c>
      <c r="O121" s="12" t="str">
        <f t="shared" si="94"/>
        <v>S</v>
      </c>
      <c r="P121" s="12">
        <v>50</v>
      </c>
      <c r="Q121" s="12" t="str">
        <f t="shared" si="95"/>
        <v>S</v>
      </c>
      <c r="R121" s="12">
        <f t="shared" si="105"/>
        <v>334</v>
      </c>
      <c r="S121" s="12" t="str">
        <f t="shared" si="97"/>
        <v>56%</v>
      </c>
      <c r="T121" s="12">
        <f t="shared" si="98"/>
        <v>0</v>
      </c>
      <c r="U121" s="12">
        <f t="shared" si="99"/>
        <v>3</v>
      </c>
      <c r="V121" s="12">
        <f t="shared" si="100"/>
        <v>3</v>
      </c>
      <c r="W121" s="12">
        <f t="shared" si="101"/>
        <v>0</v>
      </c>
      <c r="X121" s="12">
        <f t="shared" si="102"/>
        <v>0</v>
      </c>
      <c r="Y121" s="19"/>
      <c r="Z121" s="15" t="str">
        <f t="shared" si="106"/>
        <v>Ordinary Pass</v>
      </c>
      <c r="AA121" s="12"/>
      <c r="AB121" s="47"/>
    </row>
    <row r="122" spans="2:28" ht="27" customHeight="1">
      <c r="B122" s="9">
        <v>115</v>
      </c>
      <c r="C122" s="16" t="s">
        <v>936</v>
      </c>
      <c r="D122" s="18" t="s">
        <v>169</v>
      </c>
      <c r="E122" s="15" t="s">
        <v>170</v>
      </c>
      <c r="F122" s="12">
        <v>41</v>
      </c>
      <c r="G122" s="12" t="str">
        <f t="shared" si="104"/>
        <v>S</v>
      </c>
      <c r="H122" s="12">
        <v>29</v>
      </c>
      <c r="I122" s="12" t="str">
        <f t="shared" si="91"/>
        <v>F</v>
      </c>
      <c r="J122" s="12">
        <v>20</v>
      </c>
      <c r="K122" s="12" t="str">
        <f t="shared" si="92"/>
        <v>F</v>
      </c>
      <c r="L122" s="12">
        <v>42</v>
      </c>
      <c r="M122" s="12" t="str">
        <f t="shared" si="93"/>
        <v>S</v>
      </c>
      <c r="N122" s="12">
        <v>29</v>
      </c>
      <c r="O122" s="12" t="str">
        <f t="shared" si="94"/>
        <v>F</v>
      </c>
      <c r="P122" s="12">
        <v>36</v>
      </c>
      <c r="Q122" s="12" t="str">
        <f t="shared" si="95"/>
        <v>S</v>
      </c>
      <c r="R122" s="12">
        <f t="shared" si="105"/>
        <v>197</v>
      </c>
      <c r="S122" s="12" t="str">
        <f t="shared" si="97"/>
        <v>33%</v>
      </c>
      <c r="T122" s="12">
        <f t="shared" si="98"/>
        <v>0</v>
      </c>
      <c r="U122" s="12">
        <f t="shared" si="99"/>
        <v>0</v>
      </c>
      <c r="V122" s="12">
        <f t="shared" si="100"/>
        <v>2</v>
      </c>
      <c r="W122" s="12">
        <f t="shared" si="101"/>
        <v>3</v>
      </c>
      <c r="X122" s="12">
        <f t="shared" si="102"/>
        <v>0</v>
      </c>
      <c r="Y122" s="19"/>
      <c r="Z122" s="15" t="s">
        <v>8</v>
      </c>
      <c r="AA122" s="12"/>
      <c r="AB122" s="47"/>
    </row>
    <row r="123" spans="2:28" ht="27" customHeight="1">
      <c r="B123" s="9">
        <v>116</v>
      </c>
      <c r="C123" s="16" t="s">
        <v>935</v>
      </c>
      <c r="D123" s="18" t="s">
        <v>171</v>
      </c>
      <c r="E123" s="15" t="s">
        <v>172</v>
      </c>
      <c r="F123" s="12">
        <v>48</v>
      </c>
      <c r="G123" s="12" t="str">
        <f t="shared" si="104"/>
        <v>S</v>
      </c>
      <c r="H123" s="12">
        <v>62</v>
      </c>
      <c r="I123" s="12" t="str">
        <f t="shared" si="91"/>
        <v>C</v>
      </c>
      <c r="J123" s="12">
        <v>20</v>
      </c>
      <c r="K123" s="12" t="str">
        <f t="shared" si="92"/>
        <v>F</v>
      </c>
      <c r="L123" s="12">
        <v>56</v>
      </c>
      <c r="M123" s="12" t="str">
        <f t="shared" si="93"/>
        <v>C</v>
      </c>
      <c r="N123" s="12">
        <v>57</v>
      </c>
      <c r="O123" s="12" t="str">
        <f t="shared" si="94"/>
        <v>C</v>
      </c>
      <c r="P123" s="12">
        <v>65</v>
      </c>
      <c r="Q123" s="12" t="str">
        <f t="shared" si="95"/>
        <v>C</v>
      </c>
      <c r="R123" s="12">
        <f t="shared" si="105"/>
        <v>308</v>
      </c>
      <c r="S123" s="12" t="str">
        <f t="shared" si="97"/>
        <v>51%</v>
      </c>
      <c r="T123" s="12">
        <f t="shared" si="98"/>
        <v>0</v>
      </c>
      <c r="U123" s="12">
        <f t="shared" si="99"/>
        <v>4</v>
      </c>
      <c r="V123" s="12">
        <f t="shared" si="100"/>
        <v>0</v>
      </c>
      <c r="W123" s="12">
        <f t="shared" si="101"/>
        <v>1</v>
      </c>
      <c r="X123" s="12">
        <f t="shared" si="102"/>
        <v>0</v>
      </c>
      <c r="Y123" s="19"/>
      <c r="Z123" s="15" t="s">
        <v>6</v>
      </c>
      <c r="AA123" s="12" t="s">
        <v>84</v>
      </c>
      <c r="AB123" s="47"/>
    </row>
    <row r="124" spans="2:28" ht="27" customHeight="1">
      <c r="B124" s="9">
        <v>117</v>
      </c>
      <c r="C124" s="16" t="s">
        <v>934</v>
      </c>
      <c r="D124" s="18" t="s">
        <v>173</v>
      </c>
      <c r="E124" s="15" t="s">
        <v>174</v>
      </c>
      <c r="F124" s="12">
        <v>39</v>
      </c>
      <c r="G124" s="12" t="str">
        <f t="shared" si="104"/>
        <v>S</v>
      </c>
      <c r="H124" s="12">
        <v>50</v>
      </c>
      <c r="I124" s="12" t="str">
        <f t="shared" si="91"/>
        <v>S</v>
      </c>
      <c r="J124" s="12">
        <v>22</v>
      </c>
      <c r="K124" s="12" t="str">
        <f t="shared" si="92"/>
        <v>F</v>
      </c>
      <c r="L124" s="12">
        <v>39</v>
      </c>
      <c r="M124" s="12" t="str">
        <f t="shared" si="93"/>
        <v>S</v>
      </c>
      <c r="N124" s="12">
        <v>58</v>
      </c>
      <c r="O124" s="12" t="str">
        <f t="shared" si="94"/>
        <v>C</v>
      </c>
      <c r="P124" s="12">
        <v>55</v>
      </c>
      <c r="Q124" s="12" t="str">
        <f t="shared" si="95"/>
        <v>C</v>
      </c>
      <c r="R124" s="12">
        <f t="shared" si="105"/>
        <v>263</v>
      </c>
      <c r="S124" s="12" t="str">
        <f t="shared" si="97"/>
        <v>44%</v>
      </c>
      <c r="T124" s="12">
        <f t="shared" si="98"/>
        <v>0</v>
      </c>
      <c r="U124" s="12">
        <f t="shared" si="99"/>
        <v>2</v>
      </c>
      <c r="V124" s="12">
        <f t="shared" si="100"/>
        <v>2</v>
      </c>
      <c r="W124" s="12">
        <f t="shared" si="101"/>
        <v>1</v>
      </c>
      <c r="X124" s="12">
        <f t="shared" si="102"/>
        <v>0</v>
      </c>
      <c r="Y124" s="19"/>
      <c r="Z124" s="15" t="s">
        <v>6</v>
      </c>
      <c r="AA124" s="12" t="s">
        <v>84</v>
      </c>
      <c r="AB124" s="47"/>
    </row>
    <row r="125" spans="2:28" ht="27" customHeight="1">
      <c r="B125" s="9">
        <v>118</v>
      </c>
      <c r="C125" s="16" t="s">
        <v>933</v>
      </c>
      <c r="D125" s="18" t="s">
        <v>175</v>
      </c>
      <c r="E125" s="15" t="s">
        <v>176</v>
      </c>
      <c r="F125" s="12" t="s">
        <v>14</v>
      </c>
      <c r="G125" s="12" t="str">
        <f t="shared" si="104"/>
        <v>AB</v>
      </c>
      <c r="H125" s="12" t="s">
        <v>14</v>
      </c>
      <c r="I125" s="12" t="str">
        <f t="shared" si="91"/>
        <v>AB</v>
      </c>
      <c r="J125" s="12" t="s">
        <v>14</v>
      </c>
      <c r="K125" s="12" t="str">
        <f t="shared" si="92"/>
        <v>AB</v>
      </c>
      <c r="L125" s="12" t="s">
        <v>14</v>
      </c>
      <c r="M125" s="12" t="str">
        <f t="shared" si="93"/>
        <v>AB</v>
      </c>
      <c r="N125" s="12" t="s">
        <v>14</v>
      </c>
      <c r="O125" s="12" t="str">
        <f t="shared" si="94"/>
        <v>AB</v>
      </c>
      <c r="P125" s="12" t="s">
        <v>14</v>
      </c>
      <c r="Q125" s="12" t="str">
        <f t="shared" si="95"/>
        <v>AB</v>
      </c>
      <c r="R125" s="12">
        <v>0</v>
      </c>
      <c r="S125" s="12" t="str">
        <f t="shared" si="97"/>
        <v>0%</v>
      </c>
      <c r="T125" s="12">
        <f t="shared" si="98"/>
        <v>0</v>
      </c>
      <c r="U125" s="12">
        <f t="shared" si="99"/>
        <v>0</v>
      </c>
      <c r="V125" s="12">
        <f t="shared" si="100"/>
        <v>0</v>
      </c>
      <c r="W125" s="12">
        <f t="shared" si="101"/>
        <v>0</v>
      </c>
      <c r="X125" s="12">
        <f t="shared" si="102"/>
        <v>6</v>
      </c>
      <c r="Y125" s="19"/>
      <c r="Z125" s="15" t="s">
        <v>7</v>
      </c>
      <c r="AA125" s="12"/>
      <c r="AB125" s="47"/>
    </row>
    <row r="126" spans="2:28" ht="27" customHeight="1">
      <c r="B126" s="9">
        <v>119</v>
      </c>
      <c r="C126" s="16" t="s">
        <v>932</v>
      </c>
      <c r="D126" s="18">
        <v>200355810660</v>
      </c>
      <c r="E126" s="15" t="s">
        <v>177</v>
      </c>
      <c r="F126" s="12">
        <v>56</v>
      </c>
      <c r="G126" s="12" t="str">
        <f t="shared" si="104"/>
        <v>C</v>
      </c>
      <c r="H126" s="12">
        <v>61</v>
      </c>
      <c r="I126" s="12" t="str">
        <f t="shared" si="91"/>
        <v>C</v>
      </c>
      <c r="J126" s="12">
        <v>57</v>
      </c>
      <c r="K126" s="12" t="str">
        <f t="shared" si="92"/>
        <v>C</v>
      </c>
      <c r="L126" s="12">
        <v>55</v>
      </c>
      <c r="M126" s="12" t="str">
        <f t="shared" si="93"/>
        <v>C</v>
      </c>
      <c r="N126" s="12">
        <v>61</v>
      </c>
      <c r="O126" s="12" t="str">
        <f t="shared" si="94"/>
        <v>C</v>
      </c>
      <c r="P126" s="12">
        <v>47</v>
      </c>
      <c r="Q126" s="12" t="str">
        <f t="shared" si="95"/>
        <v>S</v>
      </c>
      <c r="R126" s="12">
        <f t="shared" ref="R126" si="107">SUM(F126+H126+J126+L126+N126+P126)</f>
        <v>337</v>
      </c>
      <c r="S126" s="12" t="str">
        <f t="shared" si="97"/>
        <v>56%</v>
      </c>
      <c r="T126" s="12">
        <f t="shared" si="98"/>
        <v>0</v>
      </c>
      <c r="U126" s="12">
        <f t="shared" si="99"/>
        <v>5</v>
      </c>
      <c r="V126" s="12">
        <f t="shared" si="100"/>
        <v>1</v>
      </c>
      <c r="W126" s="12">
        <f t="shared" si="101"/>
        <v>0</v>
      </c>
      <c r="X126" s="12">
        <f t="shared" si="102"/>
        <v>0</v>
      </c>
      <c r="Y126" s="19"/>
      <c r="Z126" s="15" t="str">
        <f t="shared" ref="Z126" si="108">IF(X126&gt;0, "Not Completed",
   IF(T126=10, "First Class",
      IF(S126&gt;75, IF(V126&gt;0, "Ordinary Pass", "First Class"),
         IF(S126&gt;65, IF(V126&gt;0, "Ordinary Pass", "Second Class"), "none")
      )
   )
)</f>
        <v>Ordinary Pass</v>
      </c>
      <c r="AA126" s="12"/>
      <c r="AB126" s="47"/>
    </row>
    <row r="127" spans="2:28" ht="27" customHeight="1">
      <c r="B127" s="9">
        <v>120</v>
      </c>
      <c r="C127" s="16" t="s">
        <v>931</v>
      </c>
      <c r="D127" s="18" t="s">
        <v>178</v>
      </c>
      <c r="E127" s="15" t="s">
        <v>179</v>
      </c>
      <c r="F127" s="12" t="s">
        <v>14</v>
      </c>
      <c r="G127" s="12" t="str">
        <f t="shared" si="104"/>
        <v>AB</v>
      </c>
      <c r="H127" s="12" t="s">
        <v>14</v>
      </c>
      <c r="I127" s="12" t="str">
        <f t="shared" si="91"/>
        <v>AB</v>
      </c>
      <c r="J127" s="12" t="s">
        <v>14</v>
      </c>
      <c r="K127" s="12" t="str">
        <f t="shared" si="92"/>
        <v>AB</v>
      </c>
      <c r="L127" s="12" t="s">
        <v>14</v>
      </c>
      <c r="M127" s="12" t="str">
        <f t="shared" si="93"/>
        <v>AB</v>
      </c>
      <c r="N127" s="12" t="s">
        <v>14</v>
      </c>
      <c r="O127" s="12" t="str">
        <f t="shared" si="94"/>
        <v>AB</v>
      </c>
      <c r="P127" s="12" t="s">
        <v>14</v>
      </c>
      <c r="Q127" s="12" t="str">
        <f t="shared" si="95"/>
        <v>AB</v>
      </c>
      <c r="R127" s="12">
        <v>0</v>
      </c>
      <c r="S127" s="12" t="str">
        <f t="shared" si="97"/>
        <v>0%</v>
      </c>
      <c r="T127" s="12">
        <f t="shared" si="98"/>
        <v>0</v>
      </c>
      <c r="U127" s="12">
        <f t="shared" si="99"/>
        <v>0</v>
      </c>
      <c r="V127" s="12">
        <f t="shared" si="100"/>
        <v>0</v>
      </c>
      <c r="W127" s="12">
        <f t="shared" si="101"/>
        <v>0</v>
      </c>
      <c r="X127" s="12">
        <f t="shared" si="102"/>
        <v>6</v>
      </c>
      <c r="Y127" s="19"/>
      <c r="Z127" s="15" t="s">
        <v>7</v>
      </c>
      <c r="AA127" s="12"/>
      <c r="AB127" s="47"/>
    </row>
    <row r="128" spans="2:28" ht="27" customHeight="1">
      <c r="B128" s="9">
        <v>121</v>
      </c>
      <c r="C128" s="16" t="s">
        <v>930</v>
      </c>
      <c r="D128" s="18" t="s">
        <v>180</v>
      </c>
      <c r="E128" s="15" t="s">
        <v>181</v>
      </c>
      <c r="F128" s="12">
        <v>50</v>
      </c>
      <c r="G128" s="12" t="str">
        <f t="shared" ref="G128:G132" si="109">IF(F128="-", "AB", IF(F128&gt;=75, "D", IF(F128&gt;=55, "C", IF(F128&gt;=35, "S", IF(F128&gt;=0, "F")))))</f>
        <v>S</v>
      </c>
      <c r="H128" s="12">
        <v>52</v>
      </c>
      <c r="I128" s="12" t="str">
        <f t="shared" ref="I128:I147" si="110">IF(H128="-", "AB", IF(H128&gt;=75, "D", IF(H128&gt;=55, "C", IF(H128&gt;=35, "S", IF(H128&gt;=0, "F")))))</f>
        <v>S</v>
      </c>
      <c r="J128" s="12">
        <v>75</v>
      </c>
      <c r="K128" s="12" t="str">
        <f t="shared" ref="K128:K147" si="111">IF(J128="-", "AB", IF(J128&gt;=75, "D", IF(J128&gt;=55, "C", IF(J128&gt;=35, "S", IF(J128&gt;=0, "F")))))</f>
        <v>D</v>
      </c>
      <c r="L128" s="12">
        <v>45</v>
      </c>
      <c r="M128" s="12" t="str">
        <f t="shared" ref="M128:M147" si="112">IF(L128="-", "AB", IF(L128&gt;=75, "D", IF(L128&gt;=55, "C", IF(L128&gt;=35, "S", IF(L128&gt;=0, "F")))))</f>
        <v>S</v>
      </c>
      <c r="N128" s="12">
        <v>41</v>
      </c>
      <c r="O128" s="12" t="str">
        <f t="shared" ref="O128:O147" si="113">IF(N128="-", "AB", IF(N128&gt;=75, "D", IF(N128&gt;=55, "C", IF(N128&gt;=35, "S", IF(N128&gt;=0, "F")))))</f>
        <v>S</v>
      </c>
      <c r="P128" s="12">
        <v>61</v>
      </c>
      <c r="Q128" s="12" t="str">
        <f t="shared" ref="Q128:Q147" si="114">IF(P128="-", "AB", IF(P128&gt;=75, "D", IF(P128&gt;=55, "C", IF(P128&gt;=35, "S", IF(P128&gt;=0, "F")))))</f>
        <v>C</v>
      </c>
      <c r="R128" s="12">
        <f t="shared" ref="R128:R132" si="115">SUM(F128+H128+J128+L128+N128+P128)</f>
        <v>324</v>
      </c>
      <c r="S128" s="12" t="str">
        <f t="shared" ref="S128:S147" si="116">ROUND(R128/6, 0)&amp;"%"</f>
        <v>54%</v>
      </c>
      <c r="T128" s="12">
        <f t="shared" ref="T128:T147" si="117">COUNTIF(F128:Q128, "D")</f>
        <v>1</v>
      </c>
      <c r="U128" s="12">
        <f t="shared" ref="U128:U147" si="118">COUNTIF(G128:T128, "C")</f>
        <v>1</v>
      </c>
      <c r="V128" s="12">
        <f t="shared" ref="V128:V147" si="119">COUNTIF(H128:U128, "S")</f>
        <v>3</v>
      </c>
      <c r="W128" s="12">
        <f t="shared" ref="W128:W147" si="120">COUNTIF(I128:V128, "F")</f>
        <v>0</v>
      </c>
      <c r="X128" s="12">
        <f t="shared" ref="X128:X147" si="121">COUNTIF(F128:W128, "-")</f>
        <v>0</v>
      </c>
      <c r="Y128" s="19"/>
      <c r="Z128" s="15" t="str">
        <f t="shared" ref="Z128:Z130" si="122">IF(X128&gt;0, "Not Completed",
   IF(T128=10, "First Class",
      IF(S128&gt;75, IF(V128&gt;0, "Ordinary Pass", "First Class"),
         IF(S128&gt;65, IF(V128&gt;0, "Ordinary Pass", "Second Class"), "none")
      )
   )
)</f>
        <v>Ordinary Pass</v>
      </c>
      <c r="AA128" s="12"/>
      <c r="AB128" s="47"/>
    </row>
    <row r="129" spans="2:28" ht="27" customHeight="1">
      <c r="B129" s="9">
        <v>122</v>
      </c>
      <c r="C129" s="16" t="s">
        <v>929</v>
      </c>
      <c r="D129" s="18" t="s">
        <v>182</v>
      </c>
      <c r="E129" s="15" t="s">
        <v>183</v>
      </c>
      <c r="F129" s="12">
        <v>45</v>
      </c>
      <c r="G129" s="12" t="str">
        <f t="shared" si="109"/>
        <v>S</v>
      </c>
      <c r="H129" s="12">
        <v>58</v>
      </c>
      <c r="I129" s="12" t="str">
        <f t="shared" si="110"/>
        <v>C</v>
      </c>
      <c r="J129" s="12">
        <v>38</v>
      </c>
      <c r="K129" s="12" t="str">
        <f t="shared" si="111"/>
        <v>S</v>
      </c>
      <c r="L129" s="12">
        <v>38</v>
      </c>
      <c r="M129" s="12" t="str">
        <f t="shared" si="112"/>
        <v>S</v>
      </c>
      <c r="N129" s="12">
        <v>45</v>
      </c>
      <c r="O129" s="12" t="str">
        <f t="shared" si="113"/>
        <v>S</v>
      </c>
      <c r="P129" s="12">
        <v>36</v>
      </c>
      <c r="Q129" s="12" t="str">
        <f t="shared" si="114"/>
        <v>S</v>
      </c>
      <c r="R129" s="12">
        <f t="shared" si="115"/>
        <v>260</v>
      </c>
      <c r="S129" s="12" t="str">
        <f t="shared" si="116"/>
        <v>43%</v>
      </c>
      <c r="T129" s="12">
        <f t="shared" si="117"/>
        <v>0</v>
      </c>
      <c r="U129" s="12">
        <f t="shared" si="118"/>
        <v>1</v>
      </c>
      <c r="V129" s="12">
        <f t="shared" si="119"/>
        <v>4</v>
      </c>
      <c r="W129" s="12">
        <f t="shared" si="120"/>
        <v>0</v>
      </c>
      <c r="X129" s="12">
        <f t="shared" si="121"/>
        <v>0</v>
      </c>
      <c r="Y129" s="19"/>
      <c r="Z129" s="15" t="str">
        <f t="shared" si="122"/>
        <v>Ordinary Pass</v>
      </c>
      <c r="AA129" s="12"/>
      <c r="AB129" s="47"/>
    </row>
    <row r="130" spans="2:28" ht="27" customHeight="1">
      <c r="B130" s="9">
        <v>123</v>
      </c>
      <c r="C130" s="16" t="s">
        <v>926</v>
      </c>
      <c r="D130" s="18">
        <v>197984601931</v>
      </c>
      <c r="E130" s="15" t="s">
        <v>184</v>
      </c>
      <c r="F130" s="12">
        <v>77</v>
      </c>
      <c r="G130" s="12" t="str">
        <f t="shared" si="109"/>
        <v>D</v>
      </c>
      <c r="H130" s="12">
        <v>68</v>
      </c>
      <c r="I130" s="12" t="str">
        <f t="shared" si="110"/>
        <v>C</v>
      </c>
      <c r="J130" s="12">
        <v>75</v>
      </c>
      <c r="K130" s="12" t="str">
        <f t="shared" si="111"/>
        <v>D</v>
      </c>
      <c r="L130" s="12">
        <v>52</v>
      </c>
      <c r="M130" s="12" t="str">
        <f t="shared" si="112"/>
        <v>S</v>
      </c>
      <c r="N130" s="12">
        <v>82</v>
      </c>
      <c r="O130" s="12" t="str">
        <f t="shared" si="113"/>
        <v>D</v>
      </c>
      <c r="P130" s="12">
        <v>40</v>
      </c>
      <c r="Q130" s="12" t="str">
        <f t="shared" si="114"/>
        <v>S</v>
      </c>
      <c r="R130" s="12">
        <f t="shared" si="115"/>
        <v>394</v>
      </c>
      <c r="S130" s="12" t="str">
        <f t="shared" si="116"/>
        <v>66%</v>
      </c>
      <c r="T130" s="12">
        <f t="shared" si="117"/>
        <v>3</v>
      </c>
      <c r="U130" s="12">
        <f t="shared" si="118"/>
        <v>1</v>
      </c>
      <c r="V130" s="12">
        <f t="shared" si="119"/>
        <v>2</v>
      </c>
      <c r="W130" s="12">
        <f t="shared" si="120"/>
        <v>0</v>
      </c>
      <c r="X130" s="12">
        <f t="shared" si="121"/>
        <v>0</v>
      </c>
      <c r="Y130" s="19"/>
      <c r="Z130" s="15" t="str">
        <f t="shared" si="122"/>
        <v>Ordinary Pass</v>
      </c>
      <c r="AA130" s="12"/>
      <c r="AB130" s="47"/>
    </row>
    <row r="131" spans="2:28" ht="27" customHeight="1">
      <c r="B131" s="9">
        <v>124</v>
      </c>
      <c r="C131" s="16" t="s">
        <v>928</v>
      </c>
      <c r="D131" s="18" t="s">
        <v>185</v>
      </c>
      <c r="E131" s="15" t="s">
        <v>186</v>
      </c>
      <c r="F131" s="12">
        <v>35</v>
      </c>
      <c r="G131" s="12" t="str">
        <f t="shared" si="109"/>
        <v>S</v>
      </c>
      <c r="H131" s="12">
        <v>40</v>
      </c>
      <c r="I131" s="12" t="str">
        <f t="shared" si="110"/>
        <v>S</v>
      </c>
      <c r="J131" s="12">
        <v>25</v>
      </c>
      <c r="K131" s="12" t="str">
        <f t="shared" si="111"/>
        <v>F</v>
      </c>
      <c r="L131" s="12">
        <v>36</v>
      </c>
      <c r="M131" s="12" t="str">
        <f t="shared" si="112"/>
        <v>S</v>
      </c>
      <c r="N131" s="12">
        <v>27</v>
      </c>
      <c r="O131" s="12" t="str">
        <f t="shared" si="113"/>
        <v>F</v>
      </c>
      <c r="P131" s="12">
        <v>23</v>
      </c>
      <c r="Q131" s="12" t="str">
        <f t="shared" si="114"/>
        <v>F</v>
      </c>
      <c r="R131" s="12">
        <f t="shared" si="115"/>
        <v>186</v>
      </c>
      <c r="S131" s="12" t="str">
        <f t="shared" si="116"/>
        <v>31%</v>
      </c>
      <c r="T131" s="12">
        <f t="shared" si="117"/>
        <v>0</v>
      </c>
      <c r="U131" s="12">
        <f t="shared" si="118"/>
        <v>0</v>
      </c>
      <c r="V131" s="12">
        <f t="shared" si="119"/>
        <v>2</v>
      </c>
      <c r="W131" s="12">
        <f t="shared" si="120"/>
        <v>3</v>
      </c>
      <c r="X131" s="12">
        <f t="shared" si="121"/>
        <v>0</v>
      </c>
      <c r="Y131" s="19"/>
      <c r="Z131" s="15" t="s">
        <v>8</v>
      </c>
      <c r="AA131" s="12"/>
      <c r="AB131" s="47"/>
    </row>
    <row r="132" spans="2:28" ht="27" customHeight="1">
      <c r="B132" s="9">
        <v>125</v>
      </c>
      <c r="C132" s="16" t="s">
        <v>927</v>
      </c>
      <c r="D132" s="18">
        <v>200578105847</v>
      </c>
      <c r="E132" s="15" t="s">
        <v>187</v>
      </c>
      <c r="F132" s="12">
        <v>36</v>
      </c>
      <c r="G132" s="12" t="str">
        <f t="shared" si="109"/>
        <v>S</v>
      </c>
      <c r="H132" s="12">
        <v>51</v>
      </c>
      <c r="I132" s="12" t="str">
        <f t="shared" si="110"/>
        <v>S</v>
      </c>
      <c r="J132" s="12">
        <v>35</v>
      </c>
      <c r="K132" s="12" t="str">
        <f t="shared" si="111"/>
        <v>S</v>
      </c>
      <c r="L132" s="12">
        <v>23</v>
      </c>
      <c r="M132" s="12" t="str">
        <f t="shared" si="112"/>
        <v>F</v>
      </c>
      <c r="N132" s="12">
        <v>35</v>
      </c>
      <c r="O132" s="12" t="str">
        <f t="shared" si="113"/>
        <v>S</v>
      </c>
      <c r="P132" s="12">
        <v>18</v>
      </c>
      <c r="Q132" s="12" t="str">
        <f t="shared" si="114"/>
        <v>F</v>
      </c>
      <c r="R132" s="12">
        <f t="shared" si="115"/>
        <v>198</v>
      </c>
      <c r="S132" s="12" t="str">
        <f t="shared" si="116"/>
        <v>33%</v>
      </c>
      <c r="T132" s="12">
        <f t="shared" si="117"/>
        <v>0</v>
      </c>
      <c r="U132" s="12">
        <f t="shared" si="118"/>
        <v>0</v>
      </c>
      <c r="V132" s="12">
        <f t="shared" si="119"/>
        <v>3</v>
      </c>
      <c r="W132" s="12">
        <f t="shared" si="120"/>
        <v>2</v>
      </c>
      <c r="X132" s="12">
        <f t="shared" si="121"/>
        <v>0</v>
      </c>
      <c r="Y132" s="19"/>
      <c r="Z132" s="15" t="s">
        <v>6</v>
      </c>
      <c r="AA132" s="12" t="s">
        <v>188</v>
      </c>
      <c r="AB132" s="47"/>
    </row>
    <row r="133" spans="2:28" ht="27" customHeight="1">
      <c r="B133" s="9">
        <v>126</v>
      </c>
      <c r="C133" s="16" t="s">
        <v>189</v>
      </c>
      <c r="D133" s="17">
        <v>198409100393</v>
      </c>
      <c r="E133" s="15" t="s">
        <v>190</v>
      </c>
      <c r="F133" s="1">
        <v>71</v>
      </c>
      <c r="G133" s="12" t="str">
        <f>IF(F133="-", "AB", IF(F133&gt;=75, "D", IF(F133&gt;=55, "C", IF(F133&gt;=35, "S", IF(F133&gt;=0, "F")))))</f>
        <v>C</v>
      </c>
      <c r="H133" s="12">
        <v>51</v>
      </c>
      <c r="I133" s="12" t="str">
        <f t="shared" si="110"/>
        <v>S</v>
      </c>
      <c r="J133" s="12">
        <v>91</v>
      </c>
      <c r="K133" s="12" t="str">
        <f t="shared" si="111"/>
        <v>D</v>
      </c>
      <c r="L133" s="12">
        <v>82</v>
      </c>
      <c r="M133" s="12" t="str">
        <f t="shared" si="112"/>
        <v>D</v>
      </c>
      <c r="N133" s="12">
        <v>60</v>
      </c>
      <c r="O133" s="12" t="str">
        <f t="shared" si="113"/>
        <v>C</v>
      </c>
      <c r="P133" s="12">
        <v>79</v>
      </c>
      <c r="Q133" s="12" t="str">
        <f t="shared" si="114"/>
        <v>D</v>
      </c>
      <c r="R133" s="12">
        <f>SUM(F133+H133+J133+L133+N133+P133)</f>
        <v>434</v>
      </c>
      <c r="S133" s="12" t="str">
        <f t="shared" si="116"/>
        <v>72%</v>
      </c>
      <c r="T133" s="12">
        <f t="shared" si="117"/>
        <v>3</v>
      </c>
      <c r="U133" s="12">
        <f t="shared" si="118"/>
        <v>2</v>
      </c>
      <c r="V133" s="12">
        <f t="shared" si="119"/>
        <v>1</v>
      </c>
      <c r="W133" s="12">
        <f t="shared" si="120"/>
        <v>0</v>
      </c>
      <c r="X133" s="12">
        <f t="shared" si="121"/>
        <v>0</v>
      </c>
      <c r="Y133" s="19"/>
      <c r="Z133" s="20" t="str">
        <f>IF(X133&gt;0, "Not Completed",
   IF(T133=10, "First Class",
      IF(S133&gt;75, IF(V133&gt;0, "Ordinary Pass", "First Class"),
         IF(S133&gt;65, IF(V133&gt;0, "Ordinary Pass", "Second Class"), "none")
      )
   )
)</f>
        <v>Ordinary Pass</v>
      </c>
      <c r="AA133" s="12"/>
      <c r="AB133" s="47"/>
    </row>
    <row r="134" spans="2:28" ht="27" customHeight="1">
      <c r="B134" s="9">
        <v>127</v>
      </c>
      <c r="C134" s="16" t="s">
        <v>191</v>
      </c>
      <c r="D134" s="18">
        <v>197630503601</v>
      </c>
      <c r="E134" s="15" t="s">
        <v>192</v>
      </c>
      <c r="F134" s="12">
        <v>67</v>
      </c>
      <c r="G134" s="12" t="str">
        <f t="shared" ref="G134:G147" si="123">IF(F134="-", "AB", IF(F134&gt;=75, "D", IF(F134&gt;=55, "C", IF(F134&gt;=35, "S", IF(F134&gt;=0, "F")))))</f>
        <v>C</v>
      </c>
      <c r="H134" s="12">
        <v>68</v>
      </c>
      <c r="I134" s="12" t="str">
        <f t="shared" si="110"/>
        <v>C</v>
      </c>
      <c r="J134" s="12">
        <v>85</v>
      </c>
      <c r="K134" s="12" t="str">
        <f t="shared" si="111"/>
        <v>D</v>
      </c>
      <c r="L134" s="12">
        <v>83</v>
      </c>
      <c r="M134" s="12" t="str">
        <f t="shared" si="112"/>
        <v>D</v>
      </c>
      <c r="N134" s="12">
        <v>65</v>
      </c>
      <c r="O134" s="12" t="str">
        <f t="shared" si="113"/>
        <v>C</v>
      </c>
      <c r="P134" s="12">
        <v>55</v>
      </c>
      <c r="Q134" s="12" t="str">
        <f t="shared" si="114"/>
        <v>C</v>
      </c>
      <c r="R134" s="12">
        <f t="shared" ref="R134:R147" si="124">SUM(F134+H134+J134+L134+N134+P134)</f>
        <v>423</v>
      </c>
      <c r="S134" s="12" t="str">
        <f t="shared" si="116"/>
        <v>71%</v>
      </c>
      <c r="T134" s="12">
        <f t="shared" si="117"/>
        <v>2</v>
      </c>
      <c r="U134" s="12">
        <f t="shared" si="118"/>
        <v>4</v>
      </c>
      <c r="V134" s="12">
        <f t="shared" si="119"/>
        <v>0</v>
      </c>
      <c r="W134" s="12">
        <f t="shared" si="120"/>
        <v>0</v>
      </c>
      <c r="X134" s="12">
        <f t="shared" si="121"/>
        <v>0</v>
      </c>
      <c r="Y134" s="19"/>
      <c r="Z134" s="20" t="s">
        <v>10</v>
      </c>
      <c r="AA134" s="12"/>
      <c r="AB134" s="47"/>
    </row>
    <row r="135" spans="2:28" ht="27" customHeight="1">
      <c r="B135" s="9">
        <v>128</v>
      </c>
      <c r="C135" s="16" t="s">
        <v>193</v>
      </c>
      <c r="D135" s="18" t="s">
        <v>194</v>
      </c>
      <c r="E135" s="15" t="s">
        <v>195</v>
      </c>
      <c r="F135" s="12">
        <v>76</v>
      </c>
      <c r="G135" s="12" t="str">
        <f t="shared" si="123"/>
        <v>D</v>
      </c>
      <c r="H135" s="12">
        <v>59</v>
      </c>
      <c r="I135" s="12" t="str">
        <f t="shared" si="110"/>
        <v>C</v>
      </c>
      <c r="J135" s="12">
        <v>78</v>
      </c>
      <c r="K135" s="12" t="str">
        <f t="shared" si="111"/>
        <v>D</v>
      </c>
      <c r="L135" s="12">
        <v>76</v>
      </c>
      <c r="M135" s="12" t="str">
        <f t="shared" si="112"/>
        <v>D</v>
      </c>
      <c r="N135" s="12">
        <v>61</v>
      </c>
      <c r="O135" s="12" t="str">
        <f t="shared" si="113"/>
        <v>C</v>
      </c>
      <c r="P135" s="12">
        <v>59</v>
      </c>
      <c r="Q135" s="12" t="str">
        <f t="shared" si="114"/>
        <v>C</v>
      </c>
      <c r="R135" s="12">
        <f t="shared" si="124"/>
        <v>409</v>
      </c>
      <c r="S135" s="12" t="str">
        <f t="shared" si="116"/>
        <v>68%</v>
      </c>
      <c r="T135" s="12">
        <f t="shared" si="117"/>
        <v>3</v>
      </c>
      <c r="U135" s="12">
        <f t="shared" si="118"/>
        <v>3</v>
      </c>
      <c r="V135" s="12">
        <f t="shared" si="119"/>
        <v>0</v>
      </c>
      <c r="W135" s="12">
        <f t="shared" si="120"/>
        <v>0</v>
      </c>
      <c r="X135" s="12">
        <f t="shared" si="121"/>
        <v>0</v>
      </c>
      <c r="Y135" s="19"/>
      <c r="Z135" s="20" t="s">
        <v>10</v>
      </c>
      <c r="AA135" s="12"/>
      <c r="AB135" s="47"/>
    </row>
    <row r="136" spans="2:28" ht="27" customHeight="1">
      <c r="B136" s="9">
        <v>129</v>
      </c>
      <c r="C136" s="16" t="s">
        <v>196</v>
      </c>
      <c r="D136" s="18" t="s">
        <v>197</v>
      </c>
      <c r="E136" s="15" t="s">
        <v>198</v>
      </c>
      <c r="F136" s="12">
        <v>80</v>
      </c>
      <c r="G136" s="12" t="str">
        <f t="shared" si="123"/>
        <v>D</v>
      </c>
      <c r="H136" s="12">
        <v>72</v>
      </c>
      <c r="I136" s="12" t="str">
        <f t="shared" si="110"/>
        <v>C</v>
      </c>
      <c r="J136" s="12">
        <v>90</v>
      </c>
      <c r="K136" s="12" t="str">
        <f t="shared" si="111"/>
        <v>D</v>
      </c>
      <c r="L136" s="12">
        <v>81</v>
      </c>
      <c r="M136" s="12" t="str">
        <f t="shared" si="112"/>
        <v>D</v>
      </c>
      <c r="N136" s="12">
        <v>69</v>
      </c>
      <c r="O136" s="12" t="str">
        <f t="shared" si="113"/>
        <v>C</v>
      </c>
      <c r="P136" s="12">
        <v>68</v>
      </c>
      <c r="Q136" s="12" t="str">
        <f t="shared" si="114"/>
        <v>C</v>
      </c>
      <c r="R136" s="12">
        <f t="shared" si="124"/>
        <v>460</v>
      </c>
      <c r="S136" s="12" t="str">
        <f t="shared" si="116"/>
        <v>77%</v>
      </c>
      <c r="T136" s="12">
        <f t="shared" si="117"/>
        <v>3</v>
      </c>
      <c r="U136" s="12">
        <f t="shared" si="118"/>
        <v>3</v>
      </c>
      <c r="V136" s="12">
        <f t="shared" si="119"/>
        <v>0</v>
      </c>
      <c r="W136" s="12">
        <f t="shared" si="120"/>
        <v>0</v>
      </c>
      <c r="X136" s="12">
        <f t="shared" si="121"/>
        <v>0</v>
      </c>
      <c r="Y136" s="19"/>
      <c r="Z136" s="20" t="str">
        <f t="shared" ref="Z136:Z143" si="125">IF(X136&gt;0, "Not Completed",
   IF(T136=10, "First Class",
      IF(S136&gt;75, IF(V136&gt;0, "Ordinary Pass", "First Class"),
         IF(S136&gt;65, IF(V136&gt;0, "Ordinary Pass", "Second Class"), "none")
      )
   )
)</f>
        <v>First Class</v>
      </c>
      <c r="AA136" s="12"/>
      <c r="AB136" s="47"/>
    </row>
    <row r="137" spans="2:28" ht="27" customHeight="1">
      <c r="B137" s="9">
        <v>130</v>
      </c>
      <c r="C137" s="16" t="s">
        <v>199</v>
      </c>
      <c r="D137" s="18" t="s">
        <v>200</v>
      </c>
      <c r="E137" s="15" t="s">
        <v>201</v>
      </c>
      <c r="F137" s="12">
        <v>82</v>
      </c>
      <c r="G137" s="12" t="str">
        <f t="shared" si="123"/>
        <v>D</v>
      </c>
      <c r="H137" s="12">
        <v>70</v>
      </c>
      <c r="I137" s="12" t="str">
        <f t="shared" si="110"/>
        <v>C</v>
      </c>
      <c r="J137" s="12">
        <v>91</v>
      </c>
      <c r="K137" s="12" t="str">
        <f t="shared" si="111"/>
        <v>D</v>
      </c>
      <c r="L137" s="12">
        <v>82</v>
      </c>
      <c r="M137" s="12" t="str">
        <f t="shared" si="112"/>
        <v>D</v>
      </c>
      <c r="N137" s="12">
        <v>78</v>
      </c>
      <c r="O137" s="12" t="str">
        <f t="shared" si="113"/>
        <v>D</v>
      </c>
      <c r="P137" s="12">
        <v>64</v>
      </c>
      <c r="Q137" s="12" t="str">
        <f t="shared" si="114"/>
        <v>C</v>
      </c>
      <c r="R137" s="12">
        <f t="shared" si="124"/>
        <v>467</v>
      </c>
      <c r="S137" s="12" t="str">
        <f t="shared" si="116"/>
        <v>78%</v>
      </c>
      <c r="T137" s="12">
        <f t="shared" si="117"/>
        <v>4</v>
      </c>
      <c r="U137" s="12">
        <f t="shared" si="118"/>
        <v>2</v>
      </c>
      <c r="V137" s="12">
        <f t="shared" si="119"/>
        <v>0</v>
      </c>
      <c r="W137" s="12">
        <f t="shared" si="120"/>
        <v>0</v>
      </c>
      <c r="X137" s="12">
        <f t="shared" si="121"/>
        <v>0</v>
      </c>
      <c r="Y137" s="19"/>
      <c r="Z137" s="20" t="str">
        <f t="shared" si="125"/>
        <v>First Class</v>
      </c>
      <c r="AA137" s="12"/>
      <c r="AB137" s="47"/>
    </row>
    <row r="138" spans="2:28" ht="27" customHeight="1">
      <c r="B138" s="9">
        <v>131</v>
      </c>
      <c r="C138" s="16" t="s">
        <v>202</v>
      </c>
      <c r="D138" s="18" t="s">
        <v>203</v>
      </c>
      <c r="E138" s="15" t="s">
        <v>204</v>
      </c>
      <c r="F138" s="12">
        <v>73</v>
      </c>
      <c r="G138" s="12" t="str">
        <f t="shared" si="123"/>
        <v>C</v>
      </c>
      <c r="H138" s="12">
        <v>79</v>
      </c>
      <c r="I138" s="12" t="str">
        <f t="shared" si="110"/>
        <v>D</v>
      </c>
      <c r="J138" s="12">
        <v>89</v>
      </c>
      <c r="K138" s="12" t="str">
        <f t="shared" si="111"/>
        <v>D</v>
      </c>
      <c r="L138" s="12">
        <v>90</v>
      </c>
      <c r="M138" s="12" t="str">
        <f t="shared" si="112"/>
        <v>D</v>
      </c>
      <c r="N138" s="12">
        <v>69</v>
      </c>
      <c r="O138" s="12" t="str">
        <f t="shared" si="113"/>
        <v>C</v>
      </c>
      <c r="P138" s="12">
        <v>74</v>
      </c>
      <c r="Q138" s="12" t="str">
        <f t="shared" si="114"/>
        <v>C</v>
      </c>
      <c r="R138" s="12">
        <f t="shared" si="124"/>
        <v>474</v>
      </c>
      <c r="S138" s="12" t="str">
        <f t="shared" si="116"/>
        <v>79%</v>
      </c>
      <c r="T138" s="12">
        <f t="shared" si="117"/>
        <v>3</v>
      </c>
      <c r="U138" s="12">
        <f t="shared" si="118"/>
        <v>3</v>
      </c>
      <c r="V138" s="12">
        <f t="shared" si="119"/>
        <v>0</v>
      </c>
      <c r="W138" s="12">
        <f t="shared" si="120"/>
        <v>0</v>
      </c>
      <c r="X138" s="12">
        <f t="shared" si="121"/>
        <v>0</v>
      </c>
      <c r="Y138" s="19"/>
      <c r="Z138" s="20" t="str">
        <f t="shared" si="125"/>
        <v>First Class</v>
      </c>
      <c r="AA138" s="12"/>
      <c r="AB138" s="47"/>
    </row>
    <row r="139" spans="2:28" ht="27" customHeight="1">
      <c r="B139" s="9">
        <v>132</v>
      </c>
      <c r="C139" s="16" t="s">
        <v>205</v>
      </c>
      <c r="D139" s="18" t="s">
        <v>206</v>
      </c>
      <c r="E139" s="15" t="s">
        <v>207</v>
      </c>
      <c r="F139" s="12">
        <v>76</v>
      </c>
      <c r="G139" s="12" t="str">
        <f t="shared" si="123"/>
        <v>D</v>
      </c>
      <c r="H139" s="12">
        <v>66</v>
      </c>
      <c r="I139" s="12" t="str">
        <f t="shared" si="110"/>
        <v>C</v>
      </c>
      <c r="J139" s="12">
        <v>92</v>
      </c>
      <c r="K139" s="12" t="str">
        <f t="shared" si="111"/>
        <v>D</v>
      </c>
      <c r="L139" s="12">
        <v>82</v>
      </c>
      <c r="M139" s="12" t="str">
        <f t="shared" si="112"/>
        <v>D</v>
      </c>
      <c r="N139" s="12">
        <v>60</v>
      </c>
      <c r="O139" s="12" t="str">
        <f t="shared" si="113"/>
        <v>C</v>
      </c>
      <c r="P139" s="12">
        <v>68</v>
      </c>
      <c r="Q139" s="12" t="str">
        <f t="shared" si="114"/>
        <v>C</v>
      </c>
      <c r="R139" s="12">
        <f t="shared" si="124"/>
        <v>444</v>
      </c>
      <c r="S139" s="12" t="str">
        <f t="shared" si="116"/>
        <v>74%</v>
      </c>
      <c r="T139" s="12">
        <f t="shared" si="117"/>
        <v>3</v>
      </c>
      <c r="U139" s="12">
        <f t="shared" si="118"/>
        <v>3</v>
      </c>
      <c r="V139" s="12">
        <f t="shared" si="119"/>
        <v>0</v>
      </c>
      <c r="W139" s="12">
        <f t="shared" si="120"/>
        <v>0</v>
      </c>
      <c r="X139" s="12">
        <f t="shared" si="121"/>
        <v>0</v>
      </c>
      <c r="Y139" s="19"/>
      <c r="Z139" s="20" t="s">
        <v>10</v>
      </c>
      <c r="AA139" s="12"/>
      <c r="AB139" s="47"/>
    </row>
    <row r="140" spans="2:28" ht="27" customHeight="1">
      <c r="B140" s="9">
        <v>133</v>
      </c>
      <c r="C140" s="16" t="s">
        <v>208</v>
      </c>
      <c r="D140" s="18" t="s">
        <v>209</v>
      </c>
      <c r="E140" s="15" t="s">
        <v>210</v>
      </c>
      <c r="F140" s="12">
        <v>56</v>
      </c>
      <c r="G140" s="12" t="str">
        <f t="shared" si="123"/>
        <v>C</v>
      </c>
      <c r="H140" s="12">
        <v>69</v>
      </c>
      <c r="I140" s="12" t="str">
        <f t="shared" si="110"/>
        <v>C</v>
      </c>
      <c r="J140" s="12">
        <v>91</v>
      </c>
      <c r="K140" s="12" t="str">
        <f t="shared" si="111"/>
        <v>D</v>
      </c>
      <c r="L140" s="12">
        <v>85</v>
      </c>
      <c r="M140" s="12" t="str">
        <f t="shared" si="112"/>
        <v>D</v>
      </c>
      <c r="N140" s="12">
        <v>84</v>
      </c>
      <c r="O140" s="12" t="str">
        <f t="shared" si="113"/>
        <v>D</v>
      </c>
      <c r="P140" s="12">
        <v>81</v>
      </c>
      <c r="Q140" s="12" t="str">
        <f t="shared" si="114"/>
        <v>D</v>
      </c>
      <c r="R140" s="12">
        <f t="shared" si="124"/>
        <v>466</v>
      </c>
      <c r="S140" s="12" t="str">
        <f t="shared" si="116"/>
        <v>78%</v>
      </c>
      <c r="T140" s="12">
        <f t="shared" si="117"/>
        <v>4</v>
      </c>
      <c r="U140" s="12">
        <f t="shared" si="118"/>
        <v>2</v>
      </c>
      <c r="V140" s="12">
        <f t="shared" si="119"/>
        <v>0</v>
      </c>
      <c r="W140" s="12">
        <f t="shared" si="120"/>
        <v>0</v>
      </c>
      <c r="X140" s="12">
        <f t="shared" si="121"/>
        <v>0</v>
      </c>
      <c r="Y140" s="19"/>
      <c r="Z140" s="20" t="str">
        <f t="shared" si="125"/>
        <v>First Class</v>
      </c>
      <c r="AA140" s="12"/>
      <c r="AB140" s="47"/>
    </row>
    <row r="141" spans="2:28" ht="27" customHeight="1">
      <c r="B141" s="9">
        <v>134</v>
      </c>
      <c r="C141" s="16" t="s">
        <v>211</v>
      </c>
      <c r="D141" s="18" t="s">
        <v>212</v>
      </c>
      <c r="E141" s="15" t="s">
        <v>213</v>
      </c>
      <c r="F141" s="12">
        <v>67</v>
      </c>
      <c r="G141" s="12" t="str">
        <f t="shared" si="123"/>
        <v>C</v>
      </c>
      <c r="H141" s="12">
        <v>67</v>
      </c>
      <c r="I141" s="12" t="str">
        <f t="shared" si="110"/>
        <v>C</v>
      </c>
      <c r="J141" s="12">
        <v>87</v>
      </c>
      <c r="K141" s="12" t="str">
        <f t="shared" si="111"/>
        <v>D</v>
      </c>
      <c r="L141" s="12">
        <v>83</v>
      </c>
      <c r="M141" s="12" t="str">
        <f t="shared" si="112"/>
        <v>D</v>
      </c>
      <c r="N141" s="12">
        <v>67</v>
      </c>
      <c r="O141" s="12" t="str">
        <f t="shared" si="113"/>
        <v>C</v>
      </c>
      <c r="P141" s="12">
        <v>73</v>
      </c>
      <c r="Q141" s="12" t="str">
        <f t="shared" si="114"/>
        <v>C</v>
      </c>
      <c r="R141" s="12">
        <f t="shared" si="124"/>
        <v>444</v>
      </c>
      <c r="S141" s="12" t="str">
        <f t="shared" si="116"/>
        <v>74%</v>
      </c>
      <c r="T141" s="12">
        <f t="shared" si="117"/>
        <v>2</v>
      </c>
      <c r="U141" s="12">
        <f t="shared" si="118"/>
        <v>4</v>
      </c>
      <c r="V141" s="12">
        <f t="shared" si="119"/>
        <v>0</v>
      </c>
      <c r="W141" s="12">
        <f t="shared" si="120"/>
        <v>0</v>
      </c>
      <c r="X141" s="12">
        <f t="shared" si="121"/>
        <v>0</v>
      </c>
      <c r="Y141" s="19"/>
      <c r="Z141" s="20" t="s">
        <v>10</v>
      </c>
      <c r="AA141" s="12"/>
      <c r="AB141" s="47"/>
    </row>
    <row r="142" spans="2:28" ht="27" customHeight="1">
      <c r="B142" s="9">
        <v>135</v>
      </c>
      <c r="C142" s="16" t="s">
        <v>214</v>
      </c>
      <c r="D142" s="18">
        <v>198171500632</v>
      </c>
      <c r="E142" s="15" t="s">
        <v>215</v>
      </c>
      <c r="F142" s="12">
        <v>56</v>
      </c>
      <c r="G142" s="12" t="str">
        <f t="shared" si="123"/>
        <v>C</v>
      </c>
      <c r="H142" s="12">
        <v>86</v>
      </c>
      <c r="I142" s="12" t="str">
        <f t="shared" si="110"/>
        <v>D</v>
      </c>
      <c r="J142" s="12">
        <v>87</v>
      </c>
      <c r="K142" s="12" t="str">
        <f t="shared" si="111"/>
        <v>D</v>
      </c>
      <c r="L142" s="12">
        <v>75</v>
      </c>
      <c r="M142" s="12" t="str">
        <f t="shared" si="112"/>
        <v>D</v>
      </c>
      <c r="N142" s="12">
        <v>74</v>
      </c>
      <c r="O142" s="12" t="str">
        <f t="shared" si="113"/>
        <v>C</v>
      </c>
      <c r="P142" s="12">
        <v>70</v>
      </c>
      <c r="Q142" s="12" t="str">
        <f t="shared" si="114"/>
        <v>C</v>
      </c>
      <c r="R142" s="12">
        <f t="shared" si="124"/>
        <v>448</v>
      </c>
      <c r="S142" s="12" t="str">
        <f t="shared" si="116"/>
        <v>75%</v>
      </c>
      <c r="T142" s="12">
        <f t="shared" si="117"/>
        <v>3</v>
      </c>
      <c r="U142" s="12">
        <f t="shared" si="118"/>
        <v>3</v>
      </c>
      <c r="V142" s="12">
        <f t="shared" si="119"/>
        <v>0</v>
      </c>
      <c r="W142" s="12">
        <f t="shared" si="120"/>
        <v>0</v>
      </c>
      <c r="X142" s="12">
        <f t="shared" si="121"/>
        <v>0</v>
      </c>
      <c r="Y142" s="19"/>
      <c r="Z142" s="20" t="str">
        <f t="shared" si="125"/>
        <v>First Class</v>
      </c>
      <c r="AA142" s="12"/>
      <c r="AB142" s="47"/>
    </row>
    <row r="143" spans="2:28" ht="27" customHeight="1">
      <c r="B143" s="9">
        <v>136</v>
      </c>
      <c r="C143" s="16" t="s">
        <v>216</v>
      </c>
      <c r="D143" s="18" t="s">
        <v>217</v>
      </c>
      <c r="E143" s="15" t="s">
        <v>218</v>
      </c>
      <c r="F143" s="12">
        <v>72</v>
      </c>
      <c r="G143" s="12" t="str">
        <f t="shared" si="123"/>
        <v>C</v>
      </c>
      <c r="H143" s="12">
        <v>82</v>
      </c>
      <c r="I143" s="12" t="str">
        <f t="shared" si="110"/>
        <v>D</v>
      </c>
      <c r="J143" s="12">
        <v>90</v>
      </c>
      <c r="K143" s="12" t="str">
        <f t="shared" si="111"/>
        <v>D</v>
      </c>
      <c r="L143" s="12">
        <v>89</v>
      </c>
      <c r="M143" s="12" t="str">
        <f t="shared" si="112"/>
        <v>D</v>
      </c>
      <c r="N143" s="12">
        <v>71</v>
      </c>
      <c r="O143" s="12" t="str">
        <f t="shared" si="113"/>
        <v>C</v>
      </c>
      <c r="P143" s="12">
        <v>74</v>
      </c>
      <c r="Q143" s="12" t="str">
        <f t="shared" si="114"/>
        <v>C</v>
      </c>
      <c r="R143" s="12">
        <f t="shared" si="124"/>
        <v>478</v>
      </c>
      <c r="S143" s="12" t="str">
        <f t="shared" si="116"/>
        <v>80%</v>
      </c>
      <c r="T143" s="12">
        <f t="shared" si="117"/>
        <v>3</v>
      </c>
      <c r="U143" s="12">
        <f t="shared" si="118"/>
        <v>3</v>
      </c>
      <c r="V143" s="12">
        <f t="shared" si="119"/>
        <v>0</v>
      </c>
      <c r="W143" s="12">
        <f t="shared" si="120"/>
        <v>0</v>
      </c>
      <c r="X143" s="12">
        <f t="shared" si="121"/>
        <v>0</v>
      </c>
      <c r="Y143" s="19"/>
      <c r="Z143" s="20" t="str">
        <f t="shared" si="125"/>
        <v>First Class</v>
      </c>
      <c r="AA143" s="12"/>
      <c r="AB143" s="47"/>
    </row>
    <row r="144" spans="2:28" ht="27" customHeight="1">
      <c r="B144" s="9">
        <v>137</v>
      </c>
      <c r="C144" s="16" t="s">
        <v>219</v>
      </c>
      <c r="D144" s="18" t="s">
        <v>220</v>
      </c>
      <c r="E144" s="15" t="s">
        <v>221</v>
      </c>
      <c r="F144" s="12">
        <v>63</v>
      </c>
      <c r="G144" s="12" t="str">
        <f t="shared" si="123"/>
        <v>C</v>
      </c>
      <c r="H144" s="12">
        <v>61</v>
      </c>
      <c r="I144" s="12" t="str">
        <f t="shared" si="110"/>
        <v>C</v>
      </c>
      <c r="J144" s="12">
        <v>90</v>
      </c>
      <c r="K144" s="12" t="str">
        <f t="shared" si="111"/>
        <v>D</v>
      </c>
      <c r="L144" s="12">
        <v>76</v>
      </c>
      <c r="M144" s="12" t="str">
        <f t="shared" si="112"/>
        <v>D</v>
      </c>
      <c r="N144" s="12">
        <v>61</v>
      </c>
      <c r="O144" s="12" t="str">
        <f t="shared" si="113"/>
        <v>C</v>
      </c>
      <c r="P144" s="12">
        <v>66</v>
      </c>
      <c r="Q144" s="12" t="str">
        <f t="shared" si="114"/>
        <v>C</v>
      </c>
      <c r="R144" s="12">
        <f t="shared" si="124"/>
        <v>417</v>
      </c>
      <c r="S144" s="12" t="str">
        <f t="shared" si="116"/>
        <v>70%</v>
      </c>
      <c r="T144" s="12">
        <f t="shared" si="117"/>
        <v>2</v>
      </c>
      <c r="U144" s="12">
        <f t="shared" si="118"/>
        <v>4</v>
      </c>
      <c r="V144" s="12">
        <f t="shared" si="119"/>
        <v>0</v>
      </c>
      <c r="W144" s="12">
        <f t="shared" si="120"/>
        <v>0</v>
      </c>
      <c r="X144" s="12">
        <f t="shared" si="121"/>
        <v>0</v>
      </c>
      <c r="Y144" s="19"/>
      <c r="Z144" s="20" t="s">
        <v>10</v>
      </c>
      <c r="AA144" s="12"/>
      <c r="AB144" s="47"/>
    </row>
    <row r="145" spans="2:28" ht="27" customHeight="1">
      <c r="B145" s="9">
        <v>138</v>
      </c>
      <c r="C145" s="16" t="s">
        <v>222</v>
      </c>
      <c r="D145" s="18" t="s">
        <v>223</v>
      </c>
      <c r="E145" s="15" t="s">
        <v>224</v>
      </c>
      <c r="F145" s="12">
        <v>55</v>
      </c>
      <c r="G145" s="12" t="str">
        <f t="shared" si="123"/>
        <v>C</v>
      </c>
      <c r="H145" s="12">
        <v>57</v>
      </c>
      <c r="I145" s="12" t="str">
        <f t="shared" si="110"/>
        <v>C</v>
      </c>
      <c r="J145" s="12">
        <v>87</v>
      </c>
      <c r="K145" s="12" t="str">
        <f t="shared" si="111"/>
        <v>D</v>
      </c>
      <c r="L145" s="12">
        <v>73</v>
      </c>
      <c r="M145" s="12" t="str">
        <f t="shared" si="112"/>
        <v>C</v>
      </c>
      <c r="N145" s="12">
        <v>57</v>
      </c>
      <c r="O145" s="12" t="str">
        <f t="shared" si="113"/>
        <v>C</v>
      </c>
      <c r="P145" s="12">
        <v>69</v>
      </c>
      <c r="Q145" s="12" t="str">
        <f t="shared" si="114"/>
        <v>C</v>
      </c>
      <c r="R145" s="12">
        <f t="shared" si="124"/>
        <v>398</v>
      </c>
      <c r="S145" s="12" t="str">
        <f t="shared" si="116"/>
        <v>66%</v>
      </c>
      <c r="T145" s="12">
        <f t="shared" si="117"/>
        <v>1</v>
      </c>
      <c r="U145" s="12">
        <f t="shared" si="118"/>
        <v>5</v>
      </c>
      <c r="V145" s="12">
        <f t="shared" si="119"/>
        <v>0</v>
      </c>
      <c r="W145" s="12">
        <f t="shared" si="120"/>
        <v>0</v>
      </c>
      <c r="X145" s="12">
        <f t="shared" si="121"/>
        <v>0</v>
      </c>
      <c r="Y145" s="19"/>
      <c r="Z145" s="20" t="s">
        <v>10</v>
      </c>
      <c r="AA145" s="12"/>
      <c r="AB145" s="47"/>
    </row>
    <row r="146" spans="2:28" ht="27" customHeight="1">
      <c r="B146" s="9">
        <v>139</v>
      </c>
      <c r="C146" s="16" t="s">
        <v>225</v>
      </c>
      <c r="D146" s="18">
        <v>199569903032</v>
      </c>
      <c r="E146" s="15" t="s">
        <v>226</v>
      </c>
      <c r="F146" s="12">
        <v>51</v>
      </c>
      <c r="G146" s="12" t="str">
        <f t="shared" si="123"/>
        <v>S</v>
      </c>
      <c r="H146" s="12">
        <v>75</v>
      </c>
      <c r="I146" s="12" t="str">
        <f t="shared" si="110"/>
        <v>D</v>
      </c>
      <c r="J146" s="12">
        <v>90</v>
      </c>
      <c r="K146" s="12" t="str">
        <f t="shared" si="111"/>
        <v>D</v>
      </c>
      <c r="L146" s="12">
        <v>82</v>
      </c>
      <c r="M146" s="12" t="str">
        <f t="shared" si="112"/>
        <v>D</v>
      </c>
      <c r="N146" s="12">
        <v>69</v>
      </c>
      <c r="O146" s="12" t="str">
        <f t="shared" si="113"/>
        <v>C</v>
      </c>
      <c r="P146" s="12">
        <v>82</v>
      </c>
      <c r="Q146" s="12" t="str">
        <f t="shared" si="114"/>
        <v>D</v>
      </c>
      <c r="R146" s="12">
        <f t="shared" si="124"/>
        <v>449</v>
      </c>
      <c r="S146" s="12" t="str">
        <f t="shared" si="116"/>
        <v>75%</v>
      </c>
      <c r="T146" s="12">
        <f t="shared" si="117"/>
        <v>4</v>
      </c>
      <c r="U146" s="12">
        <f t="shared" si="118"/>
        <v>1</v>
      </c>
      <c r="V146" s="12">
        <f t="shared" si="119"/>
        <v>0</v>
      </c>
      <c r="W146" s="12">
        <f t="shared" si="120"/>
        <v>0</v>
      </c>
      <c r="X146" s="12">
        <f t="shared" si="121"/>
        <v>0</v>
      </c>
      <c r="Y146" s="19"/>
      <c r="Z146" s="20" t="s">
        <v>9</v>
      </c>
      <c r="AA146" s="12"/>
      <c r="AB146" s="47"/>
    </row>
    <row r="147" spans="2:28" ht="27" customHeight="1">
      <c r="B147" s="9">
        <v>140</v>
      </c>
      <c r="C147" s="16" t="s">
        <v>227</v>
      </c>
      <c r="D147" s="18" t="s">
        <v>228</v>
      </c>
      <c r="E147" s="15" t="s">
        <v>229</v>
      </c>
      <c r="F147" s="12">
        <v>62</v>
      </c>
      <c r="G147" s="12" t="str">
        <f t="shared" si="123"/>
        <v>C</v>
      </c>
      <c r="H147" s="12">
        <v>64</v>
      </c>
      <c r="I147" s="12" t="str">
        <f t="shared" si="110"/>
        <v>C</v>
      </c>
      <c r="J147" s="12">
        <v>88</v>
      </c>
      <c r="K147" s="12" t="str">
        <f t="shared" si="111"/>
        <v>D</v>
      </c>
      <c r="L147" s="12">
        <v>73</v>
      </c>
      <c r="M147" s="12" t="str">
        <f t="shared" si="112"/>
        <v>C</v>
      </c>
      <c r="N147" s="12">
        <v>55</v>
      </c>
      <c r="O147" s="12" t="str">
        <f t="shared" si="113"/>
        <v>C</v>
      </c>
      <c r="P147" s="12">
        <v>75</v>
      </c>
      <c r="Q147" s="12" t="str">
        <f t="shared" si="114"/>
        <v>D</v>
      </c>
      <c r="R147" s="12">
        <f t="shared" si="124"/>
        <v>417</v>
      </c>
      <c r="S147" s="12" t="str">
        <f t="shared" si="116"/>
        <v>70%</v>
      </c>
      <c r="T147" s="12">
        <f t="shared" si="117"/>
        <v>2</v>
      </c>
      <c r="U147" s="12">
        <f t="shared" si="118"/>
        <v>4</v>
      </c>
      <c r="V147" s="12">
        <f t="shared" si="119"/>
        <v>0</v>
      </c>
      <c r="W147" s="12">
        <f t="shared" si="120"/>
        <v>0</v>
      </c>
      <c r="X147" s="12">
        <f t="shared" si="121"/>
        <v>0</v>
      </c>
      <c r="Y147" s="19"/>
      <c r="Z147" s="20" t="s">
        <v>10</v>
      </c>
      <c r="AA147" s="12"/>
      <c r="AB147" s="47"/>
    </row>
    <row r="148" spans="2:28" ht="27" customHeight="1">
      <c r="B148" s="9">
        <v>141</v>
      </c>
      <c r="C148" s="16" t="s">
        <v>230</v>
      </c>
      <c r="D148" s="18">
        <v>198259302534</v>
      </c>
      <c r="E148" s="15" t="s">
        <v>231</v>
      </c>
      <c r="F148" s="12">
        <v>85</v>
      </c>
      <c r="G148" s="12" t="str">
        <f t="shared" ref="G148:G155" si="126">IF(F148="-", "AB", IF(F148&gt;=75, "D", IF(F148&gt;=55, "C", IF(F148&gt;=35, "S", IF(F148&gt;=0, "F")))))</f>
        <v>D</v>
      </c>
      <c r="H148" s="12">
        <v>66</v>
      </c>
      <c r="I148" s="12" t="str">
        <f t="shared" ref="I148:I167" si="127">IF(H148="-", "AB", IF(H148&gt;=75, "D", IF(H148&gt;=55, "C", IF(H148&gt;=35, "S", IF(H148&gt;=0, "F")))))</f>
        <v>C</v>
      </c>
      <c r="J148" s="12">
        <v>88</v>
      </c>
      <c r="K148" s="12" t="str">
        <f t="shared" ref="K148:K167" si="128">IF(J148="-", "AB", IF(J148&gt;=75, "D", IF(J148&gt;=55, "C", IF(J148&gt;=35, "S", IF(J148&gt;=0, "F")))))</f>
        <v>D</v>
      </c>
      <c r="L148" s="12">
        <v>77</v>
      </c>
      <c r="M148" s="12" t="str">
        <f t="shared" ref="M148:M167" si="129">IF(L148="-", "AB", IF(L148&gt;=75, "D", IF(L148&gt;=55, "C", IF(L148&gt;=35, "S", IF(L148&gt;=0, "F")))))</f>
        <v>D</v>
      </c>
      <c r="N148" s="12">
        <v>72</v>
      </c>
      <c r="O148" s="12" t="str">
        <f t="shared" ref="O148:O167" si="130">IF(N148="-", "AB", IF(N148&gt;=75, "D", IF(N148&gt;=55, "C", IF(N148&gt;=35, "S", IF(N148&gt;=0, "F")))))</f>
        <v>C</v>
      </c>
      <c r="P148" s="12">
        <v>71</v>
      </c>
      <c r="Q148" s="12" t="str">
        <f t="shared" ref="Q148:Q167" si="131">IF(P148="-", "AB", IF(P148&gt;=75, "D", IF(P148&gt;=55, "C", IF(P148&gt;=35, "S", IF(P148&gt;=0, "F")))))</f>
        <v>C</v>
      </c>
      <c r="R148" s="12">
        <f t="shared" ref="R148:R154" si="132">SUM(F148+H148+J148+L148+N148+P148)</f>
        <v>459</v>
      </c>
      <c r="S148" s="12" t="str">
        <f t="shared" ref="S148:S167" si="133">ROUND(R148/6, 0)&amp;"%"</f>
        <v>77%</v>
      </c>
      <c r="T148" s="12">
        <f t="shared" ref="T148:T167" si="134">COUNTIF(F148:Q148, "D")</f>
        <v>3</v>
      </c>
      <c r="U148" s="12">
        <f t="shared" ref="U148:U167" si="135">COUNTIF(G148:T148, "C")</f>
        <v>3</v>
      </c>
      <c r="V148" s="12">
        <f t="shared" ref="V148:V167" si="136">COUNTIF(H148:U148, "S")</f>
        <v>0</v>
      </c>
      <c r="W148" s="12">
        <f t="shared" ref="W148:W167" si="137">COUNTIF(I148:V148, "F")</f>
        <v>0</v>
      </c>
      <c r="X148" s="12">
        <f t="shared" ref="X148:X167" si="138">COUNTIF(F148:W148, "-")</f>
        <v>0</v>
      </c>
      <c r="Y148" s="19"/>
      <c r="Z148" s="20" t="str">
        <f t="shared" ref="Z148:Z153" si="139">IF(X148&gt;0, "Not Completed",
   IF(T148=10, "First Class",
      IF(S148&gt;75, IF(V148&gt;0, "Ordinary Pass", "First Class"),
         IF(S148&gt;65, IF(V148&gt;0, "Ordinary Pass", "Second Class"), "none")
      )
   )
)</f>
        <v>First Class</v>
      </c>
      <c r="AA148" s="12"/>
      <c r="AB148" s="47"/>
    </row>
    <row r="149" spans="2:28" ht="27" customHeight="1">
      <c r="B149" s="9">
        <v>142</v>
      </c>
      <c r="C149" s="16" t="s">
        <v>232</v>
      </c>
      <c r="D149" s="18">
        <v>200471102104</v>
      </c>
      <c r="E149" s="15" t="s">
        <v>233</v>
      </c>
      <c r="F149" s="12">
        <v>78</v>
      </c>
      <c r="G149" s="12" t="str">
        <f t="shared" si="126"/>
        <v>D</v>
      </c>
      <c r="H149" s="12">
        <v>72</v>
      </c>
      <c r="I149" s="12" t="str">
        <f t="shared" si="127"/>
        <v>C</v>
      </c>
      <c r="J149" s="12">
        <v>88</v>
      </c>
      <c r="K149" s="12" t="str">
        <f t="shared" si="128"/>
        <v>D</v>
      </c>
      <c r="L149" s="12">
        <v>86</v>
      </c>
      <c r="M149" s="12" t="str">
        <f t="shared" si="129"/>
        <v>D</v>
      </c>
      <c r="N149" s="12">
        <v>69</v>
      </c>
      <c r="O149" s="12" t="str">
        <f t="shared" si="130"/>
        <v>C</v>
      </c>
      <c r="P149" s="12">
        <v>66</v>
      </c>
      <c r="Q149" s="12" t="str">
        <f t="shared" si="131"/>
        <v>C</v>
      </c>
      <c r="R149" s="12">
        <f t="shared" si="132"/>
        <v>459</v>
      </c>
      <c r="S149" s="12" t="str">
        <f t="shared" si="133"/>
        <v>77%</v>
      </c>
      <c r="T149" s="12">
        <f t="shared" si="134"/>
        <v>3</v>
      </c>
      <c r="U149" s="12">
        <f t="shared" si="135"/>
        <v>3</v>
      </c>
      <c r="V149" s="12">
        <f t="shared" si="136"/>
        <v>0</v>
      </c>
      <c r="W149" s="12">
        <f t="shared" si="137"/>
        <v>0</v>
      </c>
      <c r="X149" s="12">
        <f t="shared" si="138"/>
        <v>0</v>
      </c>
      <c r="Y149" s="19"/>
      <c r="Z149" s="20" t="str">
        <f t="shared" si="139"/>
        <v>First Class</v>
      </c>
      <c r="AA149" s="12"/>
      <c r="AB149" s="47"/>
    </row>
    <row r="150" spans="2:28" ht="27" customHeight="1">
      <c r="B150" s="9">
        <v>143</v>
      </c>
      <c r="C150" s="16" t="s">
        <v>234</v>
      </c>
      <c r="D150" s="18" t="s">
        <v>235</v>
      </c>
      <c r="E150" s="15" t="s">
        <v>236</v>
      </c>
      <c r="F150" s="12">
        <v>51</v>
      </c>
      <c r="G150" s="12" t="str">
        <f t="shared" si="126"/>
        <v>S</v>
      </c>
      <c r="H150" s="12">
        <v>61</v>
      </c>
      <c r="I150" s="12" t="str">
        <f t="shared" si="127"/>
        <v>C</v>
      </c>
      <c r="J150" s="12">
        <v>84</v>
      </c>
      <c r="K150" s="12" t="str">
        <f t="shared" si="128"/>
        <v>D</v>
      </c>
      <c r="L150" s="12">
        <v>76</v>
      </c>
      <c r="M150" s="12" t="str">
        <f t="shared" si="129"/>
        <v>D</v>
      </c>
      <c r="N150" s="12">
        <v>71</v>
      </c>
      <c r="O150" s="12" t="str">
        <f t="shared" si="130"/>
        <v>C</v>
      </c>
      <c r="P150" s="12">
        <v>74</v>
      </c>
      <c r="Q150" s="12" t="str">
        <f t="shared" si="131"/>
        <v>C</v>
      </c>
      <c r="R150" s="12">
        <f t="shared" si="132"/>
        <v>417</v>
      </c>
      <c r="S150" s="12" t="str">
        <f t="shared" si="133"/>
        <v>70%</v>
      </c>
      <c r="T150" s="12">
        <f t="shared" si="134"/>
        <v>2</v>
      </c>
      <c r="U150" s="12">
        <f t="shared" si="135"/>
        <v>3</v>
      </c>
      <c r="V150" s="12">
        <f t="shared" si="136"/>
        <v>0</v>
      </c>
      <c r="W150" s="12">
        <f t="shared" si="137"/>
        <v>0</v>
      </c>
      <c r="X150" s="12">
        <f t="shared" si="138"/>
        <v>0</v>
      </c>
      <c r="Y150" s="19"/>
      <c r="Z150" s="20" t="s">
        <v>9</v>
      </c>
      <c r="AA150" s="12"/>
      <c r="AB150" s="47"/>
    </row>
    <row r="151" spans="2:28" ht="27" customHeight="1">
      <c r="B151" s="9">
        <v>144</v>
      </c>
      <c r="C151" s="16" t="s">
        <v>237</v>
      </c>
      <c r="D151" s="18">
        <v>200273701553</v>
      </c>
      <c r="E151" s="15" t="s">
        <v>238</v>
      </c>
      <c r="F151" s="12">
        <v>55</v>
      </c>
      <c r="G151" s="12" t="str">
        <f t="shared" si="126"/>
        <v>C</v>
      </c>
      <c r="H151" s="12">
        <v>69</v>
      </c>
      <c r="I151" s="12" t="str">
        <f t="shared" si="127"/>
        <v>C</v>
      </c>
      <c r="J151" s="12">
        <v>81</v>
      </c>
      <c r="K151" s="12" t="str">
        <f t="shared" si="128"/>
        <v>D</v>
      </c>
      <c r="L151" s="12">
        <v>83</v>
      </c>
      <c r="M151" s="12" t="str">
        <f t="shared" si="129"/>
        <v>D</v>
      </c>
      <c r="N151" s="12">
        <v>76</v>
      </c>
      <c r="O151" s="12" t="str">
        <f t="shared" si="130"/>
        <v>D</v>
      </c>
      <c r="P151" s="12">
        <v>69</v>
      </c>
      <c r="Q151" s="12" t="str">
        <f t="shared" si="131"/>
        <v>C</v>
      </c>
      <c r="R151" s="12">
        <f t="shared" si="132"/>
        <v>433</v>
      </c>
      <c r="S151" s="12" t="str">
        <f t="shared" si="133"/>
        <v>72%</v>
      </c>
      <c r="T151" s="12">
        <f t="shared" si="134"/>
        <v>3</v>
      </c>
      <c r="U151" s="12">
        <f t="shared" si="135"/>
        <v>3</v>
      </c>
      <c r="V151" s="12">
        <f t="shared" si="136"/>
        <v>0</v>
      </c>
      <c r="W151" s="12">
        <f t="shared" si="137"/>
        <v>0</v>
      </c>
      <c r="X151" s="12">
        <f t="shared" si="138"/>
        <v>0</v>
      </c>
      <c r="Y151" s="19"/>
      <c r="Z151" s="20" t="s">
        <v>10</v>
      </c>
      <c r="AA151" s="12"/>
      <c r="AB151" s="47"/>
    </row>
    <row r="152" spans="2:28" ht="27" customHeight="1">
      <c r="B152" s="9">
        <v>145</v>
      </c>
      <c r="C152" s="16" t="s">
        <v>239</v>
      </c>
      <c r="D152" s="18" t="s">
        <v>240</v>
      </c>
      <c r="E152" s="15" t="s">
        <v>241</v>
      </c>
      <c r="F152" s="12">
        <v>66</v>
      </c>
      <c r="G152" s="12" t="str">
        <f t="shared" si="126"/>
        <v>C</v>
      </c>
      <c r="H152" s="12">
        <v>55</v>
      </c>
      <c r="I152" s="12" t="str">
        <f t="shared" si="127"/>
        <v>C</v>
      </c>
      <c r="J152" s="12">
        <v>81</v>
      </c>
      <c r="K152" s="12" t="str">
        <f t="shared" si="128"/>
        <v>D</v>
      </c>
      <c r="L152" s="12">
        <v>81</v>
      </c>
      <c r="M152" s="12" t="str">
        <f t="shared" si="129"/>
        <v>D</v>
      </c>
      <c r="N152" s="12">
        <v>63</v>
      </c>
      <c r="O152" s="12" t="str">
        <f t="shared" si="130"/>
        <v>C</v>
      </c>
      <c r="P152" s="12">
        <v>75</v>
      </c>
      <c r="Q152" s="12" t="str">
        <f t="shared" si="131"/>
        <v>D</v>
      </c>
      <c r="R152" s="12">
        <f t="shared" si="132"/>
        <v>421</v>
      </c>
      <c r="S152" s="12" t="str">
        <f t="shared" si="133"/>
        <v>70%</v>
      </c>
      <c r="T152" s="12">
        <f t="shared" si="134"/>
        <v>3</v>
      </c>
      <c r="U152" s="12">
        <f t="shared" si="135"/>
        <v>3</v>
      </c>
      <c r="V152" s="12">
        <f t="shared" si="136"/>
        <v>0</v>
      </c>
      <c r="W152" s="12">
        <f t="shared" si="137"/>
        <v>0</v>
      </c>
      <c r="X152" s="12">
        <f t="shared" si="138"/>
        <v>0</v>
      </c>
      <c r="Y152" s="19"/>
      <c r="Z152" s="20" t="s">
        <v>10</v>
      </c>
      <c r="AA152" s="12"/>
      <c r="AB152" s="47"/>
    </row>
    <row r="153" spans="2:28" ht="27" customHeight="1">
      <c r="B153" s="9">
        <v>146</v>
      </c>
      <c r="C153" s="16" t="s">
        <v>242</v>
      </c>
      <c r="D153" s="18">
        <v>198272503170</v>
      </c>
      <c r="E153" s="15" t="s">
        <v>243</v>
      </c>
      <c r="F153" s="12">
        <v>65</v>
      </c>
      <c r="G153" s="12" t="str">
        <f t="shared" si="126"/>
        <v>C</v>
      </c>
      <c r="H153" s="12">
        <v>78</v>
      </c>
      <c r="I153" s="12" t="str">
        <f t="shared" si="127"/>
        <v>D</v>
      </c>
      <c r="J153" s="12">
        <v>89</v>
      </c>
      <c r="K153" s="12" t="str">
        <f t="shared" si="128"/>
        <v>D</v>
      </c>
      <c r="L153" s="12">
        <v>82</v>
      </c>
      <c r="M153" s="12" t="str">
        <f t="shared" si="129"/>
        <v>D</v>
      </c>
      <c r="N153" s="12">
        <v>77</v>
      </c>
      <c r="O153" s="12" t="str">
        <f t="shared" si="130"/>
        <v>D</v>
      </c>
      <c r="P153" s="12">
        <v>69</v>
      </c>
      <c r="Q153" s="12" t="str">
        <f t="shared" si="131"/>
        <v>C</v>
      </c>
      <c r="R153" s="12">
        <f t="shared" si="132"/>
        <v>460</v>
      </c>
      <c r="S153" s="12" t="str">
        <f t="shared" si="133"/>
        <v>77%</v>
      </c>
      <c r="T153" s="12">
        <f t="shared" si="134"/>
        <v>4</v>
      </c>
      <c r="U153" s="12">
        <f t="shared" si="135"/>
        <v>2</v>
      </c>
      <c r="V153" s="12">
        <f t="shared" si="136"/>
        <v>0</v>
      </c>
      <c r="W153" s="12">
        <f t="shared" si="137"/>
        <v>0</v>
      </c>
      <c r="X153" s="12">
        <f t="shared" si="138"/>
        <v>0</v>
      </c>
      <c r="Y153" s="19"/>
      <c r="Z153" s="20" t="str">
        <f t="shared" si="139"/>
        <v>First Class</v>
      </c>
      <c r="AA153" s="12"/>
      <c r="AB153" s="47"/>
    </row>
    <row r="154" spans="2:28" ht="27" customHeight="1">
      <c r="B154" s="9">
        <v>147</v>
      </c>
      <c r="C154" s="16" t="s">
        <v>244</v>
      </c>
      <c r="D154" s="18" t="s">
        <v>245</v>
      </c>
      <c r="E154" s="15" t="s">
        <v>246</v>
      </c>
      <c r="F154" s="12">
        <v>71</v>
      </c>
      <c r="G154" s="12" t="str">
        <f t="shared" si="126"/>
        <v>C</v>
      </c>
      <c r="H154" s="12">
        <v>69</v>
      </c>
      <c r="I154" s="12" t="str">
        <f t="shared" si="127"/>
        <v>C</v>
      </c>
      <c r="J154" s="12">
        <v>88</v>
      </c>
      <c r="K154" s="12" t="str">
        <f t="shared" si="128"/>
        <v>D</v>
      </c>
      <c r="L154" s="12">
        <v>82</v>
      </c>
      <c r="M154" s="12" t="str">
        <f t="shared" si="129"/>
        <v>D</v>
      </c>
      <c r="N154" s="12">
        <v>63</v>
      </c>
      <c r="O154" s="12" t="str">
        <f t="shared" si="130"/>
        <v>C</v>
      </c>
      <c r="P154" s="12">
        <v>71</v>
      </c>
      <c r="Q154" s="12" t="str">
        <f t="shared" si="131"/>
        <v>C</v>
      </c>
      <c r="R154" s="12">
        <f t="shared" si="132"/>
        <v>444</v>
      </c>
      <c r="S154" s="12" t="str">
        <f t="shared" si="133"/>
        <v>74%</v>
      </c>
      <c r="T154" s="12">
        <f t="shared" si="134"/>
        <v>2</v>
      </c>
      <c r="U154" s="12">
        <f t="shared" si="135"/>
        <v>4</v>
      </c>
      <c r="V154" s="12">
        <f t="shared" si="136"/>
        <v>0</v>
      </c>
      <c r="W154" s="12">
        <f t="shared" si="137"/>
        <v>0</v>
      </c>
      <c r="X154" s="12">
        <f t="shared" si="138"/>
        <v>0</v>
      </c>
      <c r="Y154" s="19"/>
      <c r="Z154" s="20" t="s">
        <v>10</v>
      </c>
      <c r="AA154" s="12"/>
      <c r="AB154" s="47"/>
    </row>
    <row r="155" spans="2:28" ht="27" customHeight="1">
      <c r="B155" s="9">
        <v>148</v>
      </c>
      <c r="C155" s="16" t="s">
        <v>247</v>
      </c>
      <c r="D155" s="18">
        <v>200080403421</v>
      </c>
      <c r="E155" s="15" t="s">
        <v>248</v>
      </c>
      <c r="F155" s="12" t="s">
        <v>14</v>
      </c>
      <c r="G155" s="12" t="str">
        <f t="shared" si="126"/>
        <v>AB</v>
      </c>
      <c r="H155" s="12" t="s">
        <v>14</v>
      </c>
      <c r="I155" s="12" t="str">
        <f t="shared" si="127"/>
        <v>AB</v>
      </c>
      <c r="J155" s="12" t="s">
        <v>14</v>
      </c>
      <c r="K155" s="12" t="str">
        <f t="shared" si="128"/>
        <v>AB</v>
      </c>
      <c r="L155" s="12" t="s">
        <v>14</v>
      </c>
      <c r="M155" s="12" t="str">
        <f t="shared" si="129"/>
        <v>AB</v>
      </c>
      <c r="N155" s="12" t="s">
        <v>14</v>
      </c>
      <c r="O155" s="12" t="str">
        <f t="shared" si="130"/>
        <v>AB</v>
      </c>
      <c r="P155" s="12" t="s">
        <v>14</v>
      </c>
      <c r="Q155" s="12" t="str">
        <f t="shared" si="131"/>
        <v>AB</v>
      </c>
      <c r="R155" s="12">
        <v>0</v>
      </c>
      <c r="S155" s="12" t="str">
        <f t="shared" si="133"/>
        <v>0%</v>
      </c>
      <c r="T155" s="12">
        <f t="shared" si="134"/>
        <v>0</v>
      </c>
      <c r="U155" s="12">
        <f t="shared" si="135"/>
        <v>0</v>
      </c>
      <c r="V155" s="12">
        <f t="shared" si="136"/>
        <v>0</v>
      </c>
      <c r="W155" s="12">
        <f t="shared" si="137"/>
        <v>0</v>
      </c>
      <c r="X155" s="12">
        <f t="shared" si="138"/>
        <v>6</v>
      </c>
      <c r="Y155" s="19"/>
      <c r="Z155" s="20" t="s">
        <v>7</v>
      </c>
      <c r="AA155" s="12"/>
      <c r="AB155" s="47"/>
    </row>
    <row r="156" spans="2:28" ht="27" customHeight="1">
      <c r="B156" s="9">
        <v>149</v>
      </c>
      <c r="C156" s="16" t="s">
        <v>249</v>
      </c>
      <c r="D156" s="17" t="s">
        <v>250</v>
      </c>
      <c r="E156" s="15" t="s">
        <v>251</v>
      </c>
      <c r="F156" s="1">
        <v>79</v>
      </c>
      <c r="G156" s="12" t="str">
        <f>IF(F156="-", "AB", IF(F156&gt;=75, "D", IF(F156&gt;=55, "C", IF(F156&gt;=35, "S", IF(F156&gt;=0, "F")))))</f>
        <v>D</v>
      </c>
      <c r="H156" s="12">
        <v>65</v>
      </c>
      <c r="I156" s="12" t="str">
        <f t="shared" si="127"/>
        <v>C</v>
      </c>
      <c r="J156" s="12">
        <v>55</v>
      </c>
      <c r="K156" s="12" t="str">
        <f t="shared" si="128"/>
        <v>C</v>
      </c>
      <c r="L156" s="12">
        <v>67</v>
      </c>
      <c r="M156" s="12" t="str">
        <f t="shared" si="129"/>
        <v>C</v>
      </c>
      <c r="N156" s="12">
        <v>62</v>
      </c>
      <c r="O156" s="12" t="str">
        <f t="shared" si="130"/>
        <v>C</v>
      </c>
      <c r="P156" s="12">
        <v>67</v>
      </c>
      <c r="Q156" s="12" t="str">
        <f t="shared" si="131"/>
        <v>C</v>
      </c>
      <c r="R156" s="12">
        <f>SUM(F156+H156+J156+L156+N156+P156)</f>
        <v>395</v>
      </c>
      <c r="S156" s="12" t="str">
        <f t="shared" si="133"/>
        <v>66%</v>
      </c>
      <c r="T156" s="12">
        <f t="shared" si="134"/>
        <v>1</v>
      </c>
      <c r="U156" s="12">
        <f t="shared" si="135"/>
        <v>5</v>
      </c>
      <c r="V156" s="12">
        <f t="shared" si="136"/>
        <v>0</v>
      </c>
      <c r="W156" s="12">
        <f t="shared" si="137"/>
        <v>0</v>
      </c>
      <c r="X156" s="12">
        <f t="shared" si="138"/>
        <v>0</v>
      </c>
      <c r="Y156" s="19"/>
      <c r="Z156" s="20" t="s">
        <v>10</v>
      </c>
      <c r="AA156" s="12"/>
      <c r="AB156" s="47"/>
    </row>
    <row r="157" spans="2:28" ht="27" customHeight="1">
      <c r="B157" s="9">
        <v>150</v>
      </c>
      <c r="C157" s="19" t="s">
        <v>252</v>
      </c>
      <c r="D157" s="18" t="s">
        <v>253</v>
      </c>
      <c r="E157" s="15" t="s">
        <v>254</v>
      </c>
      <c r="F157" s="12">
        <v>56</v>
      </c>
      <c r="G157" s="12" t="str">
        <f t="shared" ref="G157:G167" si="140">IF(F157="-", "AB", IF(F157&gt;=75, "D", IF(F157&gt;=55, "C", IF(F157&gt;=35, "S", IF(F157&gt;=0, "F")))))</f>
        <v>C</v>
      </c>
      <c r="H157" s="12">
        <v>63</v>
      </c>
      <c r="I157" s="12" t="str">
        <f t="shared" si="127"/>
        <v>C</v>
      </c>
      <c r="J157" s="12">
        <v>38</v>
      </c>
      <c r="K157" s="12" t="str">
        <f t="shared" si="128"/>
        <v>S</v>
      </c>
      <c r="L157" s="12">
        <v>50</v>
      </c>
      <c r="M157" s="12" t="str">
        <f t="shared" si="129"/>
        <v>S</v>
      </c>
      <c r="N157" s="12">
        <v>54</v>
      </c>
      <c r="O157" s="12" t="str">
        <f t="shared" si="130"/>
        <v>S</v>
      </c>
      <c r="P157" s="12">
        <v>52</v>
      </c>
      <c r="Q157" s="12" t="str">
        <f t="shared" si="131"/>
        <v>S</v>
      </c>
      <c r="R157" s="12">
        <f t="shared" ref="R157:R167" si="141">SUM(F157+H157+J157+L157+N157+P157)</f>
        <v>313</v>
      </c>
      <c r="S157" s="12" t="str">
        <f t="shared" si="133"/>
        <v>52%</v>
      </c>
      <c r="T157" s="12">
        <f t="shared" si="134"/>
        <v>0</v>
      </c>
      <c r="U157" s="12">
        <f t="shared" si="135"/>
        <v>2</v>
      </c>
      <c r="V157" s="12">
        <f t="shared" si="136"/>
        <v>4</v>
      </c>
      <c r="W157" s="12">
        <f t="shared" si="137"/>
        <v>0</v>
      </c>
      <c r="X157" s="12">
        <f t="shared" si="138"/>
        <v>0</v>
      </c>
      <c r="Y157" s="19"/>
      <c r="Z157" s="20" t="str">
        <f t="shared" ref="Z157:Z167" si="142">IF(X157&gt;0, "Not Completed",
   IF(T157=10, "First Class",
      IF(S157&gt;75, IF(V157&gt;0, "Ordinary Pass", "First Class"),
         IF(S157&gt;65, IF(V157&gt;0, "Ordinary Pass", "Second Class"), "none")
      )
   )
)</f>
        <v>Ordinary Pass</v>
      </c>
      <c r="AA157" s="12"/>
      <c r="AB157" s="47"/>
    </row>
    <row r="158" spans="2:28" ht="27" customHeight="1">
      <c r="B158" s="9">
        <v>151</v>
      </c>
      <c r="C158" s="19" t="s">
        <v>255</v>
      </c>
      <c r="D158" s="18">
        <v>200351901548</v>
      </c>
      <c r="E158" s="15" t="s">
        <v>256</v>
      </c>
      <c r="F158" s="12" t="s">
        <v>14</v>
      </c>
      <c r="G158" s="12" t="str">
        <f t="shared" si="140"/>
        <v>AB</v>
      </c>
      <c r="H158" s="12" t="s">
        <v>14</v>
      </c>
      <c r="I158" s="12" t="str">
        <f t="shared" si="127"/>
        <v>AB</v>
      </c>
      <c r="J158" s="12" t="s">
        <v>14</v>
      </c>
      <c r="K158" s="12" t="str">
        <f t="shared" si="128"/>
        <v>AB</v>
      </c>
      <c r="L158" s="12" t="s">
        <v>14</v>
      </c>
      <c r="M158" s="12" t="str">
        <f t="shared" si="129"/>
        <v>AB</v>
      </c>
      <c r="N158" s="12" t="s">
        <v>14</v>
      </c>
      <c r="O158" s="12" t="str">
        <f t="shared" si="130"/>
        <v>AB</v>
      </c>
      <c r="P158" s="12" t="s">
        <v>14</v>
      </c>
      <c r="Q158" s="12" t="str">
        <f t="shared" si="131"/>
        <v>AB</v>
      </c>
      <c r="R158" s="12">
        <v>0</v>
      </c>
      <c r="S158" s="12" t="str">
        <f t="shared" si="133"/>
        <v>0%</v>
      </c>
      <c r="T158" s="12">
        <f t="shared" si="134"/>
        <v>0</v>
      </c>
      <c r="U158" s="12">
        <f t="shared" si="135"/>
        <v>0</v>
      </c>
      <c r="V158" s="12">
        <f t="shared" si="136"/>
        <v>0</v>
      </c>
      <c r="W158" s="12">
        <f t="shared" si="137"/>
        <v>0</v>
      </c>
      <c r="X158" s="12">
        <f t="shared" si="138"/>
        <v>6</v>
      </c>
      <c r="Y158" s="19"/>
      <c r="Z158" s="20" t="s">
        <v>7</v>
      </c>
      <c r="AA158" s="12"/>
      <c r="AB158" s="47"/>
    </row>
    <row r="159" spans="2:28" ht="27" customHeight="1">
      <c r="B159" s="9">
        <v>152</v>
      </c>
      <c r="C159" s="19" t="s">
        <v>257</v>
      </c>
      <c r="D159" s="18">
        <v>197780501656</v>
      </c>
      <c r="E159" s="15" t="s">
        <v>258</v>
      </c>
      <c r="F159" s="12">
        <v>71</v>
      </c>
      <c r="G159" s="12" t="str">
        <f t="shared" si="140"/>
        <v>C</v>
      </c>
      <c r="H159" s="12">
        <v>62</v>
      </c>
      <c r="I159" s="12" t="str">
        <f t="shared" si="127"/>
        <v>C</v>
      </c>
      <c r="J159" s="12">
        <v>47</v>
      </c>
      <c r="K159" s="12" t="str">
        <f t="shared" si="128"/>
        <v>S</v>
      </c>
      <c r="L159" s="12">
        <v>62</v>
      </c>
      <c r="M159" s="12" t="str">
        <f t="shared" si="129"/>
        <v>C</v>
      </c>
      <c r="N159" s="12">
        <v>63</v>
      </c>
      <c r="O159" s="12" t="str">
        <f t="shared" si="130"/>
        <v>C</v>
      </c>
      <c r="P159" s="12">
        <v>53</v>
      </c>
      <c r="Q159" s="12" t="str">
        <f t="shared" si="131"/>
        <v>S</v>
      </c>
      <c r="R159" s="12">
        <f t="shared" si="141"/>
        <v>358</v>
      </c>
      <c r="S159" s="12" t="str">
        <f t="shared" si="133"/>
        <v>60%</v>
      </c>
      <c r="T159" s="12">
        <f t="shared" si="134"/>
        <v>0</v>
      </c>
      <c r="U159" s="12">
        <f t="shared" si="135"/>
        <v>4</v>
      </c>
      <c r="V159" s="12">
        <f t="shared" si="136"/>
        <v>2</v>
      </c>
      <c r="W159" s="12">
        <f t="shared" si="137"/>
        <v>0</v>
      </c>
      <c r="X159" s="12">
        <f t="shared" si="138"/>
        <v>0</v>
      </c>
      <c r="Y159" s="19"/>
      <c r="Z159" s="20" t="str">
        <f t="shared" si="142"/>
        <v>Ordinary Pass</v>
      </c>
      <c r="AA159" s="12"/>
      <c r="AB159" s="47"/>
    </row>
    <row r="160" spans="2:28" ht="27" customHeight="1">
      <c r="B160" s="9">
        <v>153</v>
      </c>
      <c r="C160" s="19" t="s">
        <v>259</v>
      </c>
      <c r="D160" s="18" t="s">
        <v>260</v>
      </c>
      <c r="E160" s="15" t="s">
        <v>261</v>
      </c>
      <c r="F160" s="12">
        <v>41</v>
      </c>
      <c r="G160" s="12" t="str">
        <f t="shared" si="140"/>
        <v>S</v>
      </c>
      <c r="H160" s="12">
        <v>55</v>
      </c>
      <c r="I160" s="12" t="str">
        <f t="shared" si="127"/>
        <v>C</v>
      </c>
      <c r="J160" s="12">
        <v>49</v>
      </c>
      <c r="K160" s="12" t="str">
        <f t="shared" si="128"/>
        <v>S</v>
      </c>
      <c r="L160" s="12">
        <v>41</v>
      </c>
      <c r="M160" s="12" t="str">
        <f t="shared" si="129"/>
        <v>S</v>
      </c>
      <c r="N160" s="12">
        <v>48</v>
      </c>
      <c r="O160" s="12" t="str">
        <f t="shared" si="130"/>
        <v>S</v>
      </c>
      <c r="P160" s="12">
        <v>51</v>
      </c>
      <c r="Q160" s="12" t="str">
        <f t="shared" si="131"/>
        <v>S</v>
      </c>
      <c r="R160" s="12">
        <f t="shared" si="141"/>
        <v>285</v>
      </c>
      <c r="S160" s="12" t="str">
        <f t="shared" si="133"/>
        <v>48%</v>
      </c>
      <c r="T160" s="12">
        <f t="shared" si="134"/>
        <v>0</v>
      </c>
      <c r="U160" s="12">
        <f t="shared" si="135"/>
        <v>1</v>
      </c>
      <c r="V160" s="12">
        <f t="shared" si="136"/>
        <v>4</v>
      </c>
      <c r="W160" s="12">
        <f t="shared" si="137"/>
        <v>0</v>
      </c>
      <c r="X160" s="12">
        <f t="shared" si="138"/>
        <v>0</v>
      </c>
      <c r="Y160" s="19"/>
      <c r="Z160" s="20" t="str">
        <f t="shared" si="142"/>
        <v>Ordinary Pass</v>
      </c>
      <c r="AA160" s="12"/>
      <c r="AB160" s="47"/>
    </row>
    <row r="161" spans="1:34" ht="27" customHeight="1">
      <c r="B161" s="9">
        <v>154</v>
      </c>
      <c r="C161" s="19" t="s">
        <v>262</v>
      </c>
      <c r="D161" s="18" t="s">
        <v>263</v>
      </c>
      <c r="E161" s="15" t="s">
        <v>264</v>
      </c>
      <c r="F161" s="12">
        <v>64</v>
      </c>
      <c r="G161" s="12" t="str">
        <f t="shared" si="140"/>
        <v>C</v>
      </c>
      <c r="H161" s="12">
        <v>74</v>
      </c>
      <c r="I161" s="12" t="str">
        <f t="shared" si="127"/>
        <v>C</v>
      </c>
      <c r="J161" s="12">
        <v>51</v>
      </c>
      <c r="K161" s="12" t="str">
        <f t="shared" si="128"/>
        <v>S</v>
      </c>
      <c r="L161" s="12">
        <v>57</v>
      </c>
      <c r="M161" s="12" t="str">
        <f t="shared" si="129"/>
        <v>C</v>
      </c>
      <c r="N161" s="12">
        <v>55</v>
      </c>
      <c r="O161" s="12" t="str">
        <f t="shared" si="130"/>
        <v>C</v>
      </c>
      <c r="P161" s="12">
        <v>57</v>
      </c>
      <c r="Q161" s="12" t="str">
        <f t="shared" si="131"/>
        <v>C</v>
      </c>
      <c r="R161" s="12">
        <f t="shared" si="141"/>
        <v>358</v>
      </c>
      <c r="S161" s="12" t="str">
        <f t="shared" si="133"/>
        <v>60%</v>
      </c>
      <c r="T161" s="12">
        <f t="shared" si="134"/>
        <v>0</v>
      </c>
      <c r="U161" s="12">
        <f t="shared" si="135"/>
        <v>5</v>
      </c>
      <c r="V161" s="12">
        <f t="shared" si="136"/>
        <v>1</v>
      </c>
      <c r="W161" s="12">
        <f t="shared" si="137"/>
        <v>0</v>
      </c>
      <c r="X161" s="12">
        <f t="shared" si="138"/>
        <v>0</v>
      </c>
      <c r="Y161" s="19"/>
      <c r="Z161" s="20" t="str">
        <f t="shared" si="142"/>
        <v>Ordinary Pass</v>
      </c>
      <c r="AA161" s="12"/>
      <c r="AB161" s="47"/>
    </row>
    <row r="162" spans="1:34" ht="27" customHeight="1">
      <c r="B162" s="9">
        <v>155</v>
      </c>
      <c r="C162" s="19" t="s">
        <v>265</v>
      </c>
      <c r="D162" s="18" t="s">
        <v>266</v>
      </c>
      <c r="E162" s="15" t="s">
        <v>267</v>
      </c>
      <c r="F162" s="12">
        <v>44</v>
      </c>
      <c r="G162" s="12" t="str">
        <f t="shared" si="140"/>
        <v>S</v>
      </c>
      <c r="H162" s="12">
        <v>47</v>
      </c>
      <c r="I162" s="12" t="str">
        <f t="shared" si="127"/>
        <v>S</v>
      </c>
      <c r="J162" s="12">
        <v>21</v>
      </c>
      <c r="K162" s="12" t="str">
        <f t="shared" si="128"/>
        <v>F</v>
      </c>
      <c r="L162" s="12">
        <v>49</v>
      </c>
      <c r="M162" s="12" t="str">
        <f t="shared" si="129"/>
        <v>S</v>
      </c>
      <c r="N162" s="12">
        <v>45</v>
      </c>
      <c r="O162" s="12" t="str">
        <f t="shared" si="130"/>
        <v>S</v>
      </c>
      <c r="P162" s="12">
        <v>46</v>
      </c>
      <c r="Q162" s="12" t="str">
        <f t="shared" si="131"/>
        <v>S</v>
      </c>
      <c r="R162" s="12">
        <f t="shared" si="141"/>
        <v>252</v>
      </c>
      <c r="S162" s="12" t="str">
        <f t="shared" si="133"/>
        <v>42%</v>
      </c>
      <c r="T162" s="12">
        <f t="shared" si="134"/>
        <v>0</v>
      </c>
      <c r="U162" s="12">
        <f t="shared" si="135"/>
        <v>0</v>
      </c>
      <c r="V162" s="12">
        <f t="shared" si="136"/>
        <v>4</v>
      </c>
      <c r="W162" s="12">
        <f t="shared" si="137"/>
        <v>1</v>
      </c>
      <c r="X162" s="12">
        <f t="shared" si="138"/>
        <v>0</v>
      </c>
      <c r="Y162" s="19"/>
      <c r="Z162" s="20" t="s">
        <v>6</v>
      </c>
      <c r="AA162" s="12" t="s">
        <v>84</v>
      </c>
      <c r="AB162" s="47"/>
    </row>
    <row r="163" spans="1:34" ht="27" customHeight="1">
      <c r="B163" s="9">
        <v>156</v>
      </c>
      <c r="C163" s="19" t="s">
        <v>268</v>
      </c>
      <c r="D163" s="18" t="s">
        <v>269</v>
      </c>
      <c r="E163" s="15" t="s">
        <v>270</v>
      </c>
      <c r="F163" s="12">
        <v>36</v>
      </c>
      <c r="G163" s="12" t="str">
        <f t="shared" si="140"/>
        <v>S</v>
      </c>
      <c r="H163" s="12">
        <v>50</v>
      </c>
      <c r="I163" s="12" t="str">
        <f t="shared" si="127"/>
        <v>S</v>
      </c>
      <c r="J163" s="12">
        <v>26</v>
      </c>
      <c r="K163" s="12" t="str">
        <f t="shared" si="128"/>
        <v>F</v>
      </c>
      <c r="L163" s="12">
        <v>52</v>
      </c>
      <c r="M163" s="12" t="str">
        <f t="shared" si="129"/>
        <v>S</v>
      </c>
      <c r="N163" s="12">
        <v>51</v>
      </c>
      <c r="O163" s="12" t="str">
        <f t="shared" si="130"/>
        <v>S</v>
      </c>
      <c r="P163" s="12">
        <v>48</v>
      </c>
      <c r="Q163" s="12" t="str">
        <f t="shared" si="131"/>
        <v>S</v>
      </c>
      <c r="R163" s="12">
        <f t="shared" si="141"/>
        <v>263</v>
      </c>
      <c r="S163" s="12" t="str">
        <f t="shared" si="133"/>
        <v>44%</v>
      </c>
      <c r="T163" s="12">
        <f t="shared" si="134"/>
        <v>0</v>
      </c>
      <c r="U163" s="12">
        <f t="shared" si="135"/>
        <v>0</v>
      </c>
      <c r="V163" s="12">
        <f t="shared" si="136"/>
        <v>4</v>
      </c>
      <c r="W163" s="12">
        <f t="shared" si="137"/>
        <v>1</v>
      </c>
      <c r="X163" s="12">
        <f t="shared" si="138"/>
        <v>0</v>
      </c>
      <c r="Y163" s="19"/>
      <c r="Z163" s="20" t="s">
        <v>6</v>
      </c>
      <c r="AA163" s="12" t="s">
        <v>84</v>
      </c>
      <c r="AB163" s="47"/>
    </row>
    <row r="164" spans="1:34" ht="27" customHeight="1">
      <c r="B164" s="9">
        <v>157</v>
      </c>
      <c r="C164" s="19" t="s">
        <v>271</v>
      </c>
      <c r="D164" s="18">
        <v>200259301527</v>
      </c>
      <c r="E164" s="15" t="s">
        <v>272</v>
      </c>
      <c r="F164" s="12">
        <v>50</v>
      </c>
      <c r="G164" s="12" t="str">
        <f t="shared" si="140"/>
        <v>S</v>
      </c>
      <c r="H164" s="12">
        <v>58</v>
      </c>
      <c r="I164" s="12" t="str">
        <f t="shared" si="127"/>
        <v>C</v>
      </c>
      <c r="J164" s="12">
        <v>36</v>
      </c>
      <c r="K164" s="12" t="str">
        <f t="shared" si="128"/>
        <v>S</v>
      </c>
      <c r="L164" s="12">
        <v>58</v>
      </c>
      <c r="M164" s="12" t="str">
        <f t="shared" si="129"/>
        <v>C</v>
      </c>
      <c r="N164" s="12">
        <v>48</v>
      </c>
      <c r="O164" s="12" t="str">
        <f t="shared" si="130"/>
        <v>S</v>
      </c>
      <c r="P164" s="12">
        <v>57</v>
      </c>
      <c r="Q164" s="12" t="str">
        <f t="shared" si="131"/>
        <v>C</v>
      </c>
      <c r="R164" s="12">
        <f t="shared" si="141"/>
        <v>307</v>
      </c>
      <c r="S164" s="12" t="str">
        <f t="shared" si="133"/>
        <v>51%</v>
      </c>
      <c r="T164" s="12">
        <f t="shared" si="134"/>
        <v>0</v>
      </c>
      <c r="U164" s="12">
        <f t="shared" si="135"/>
        <v>3</v>
      </c>
      <c r="V164" s="12">
        <f t="shared" si="136"/>
        <v>2</v>
      </c>
      <c r="W164" s="12">
        <f t="shared" si="137"/>
        <v>0</v>
      </c>
      <c r="X164" s="12">
        <f t="shared" si="138"/>
        <v>0</v>
      </c>
      <c r="Y164" s="19"/>
      <c r="Z164" s="20" t="str">
        <f t="shared" si="142"/>
        <v>Ordinary Pass</v>
      </c>
      <c r="AA164" s="12"/>
      <c r="AB164" s="47"/>
    </row>
    <row r="165" spans="1:34" ht="27" customHeight="1">
      <c r="B165" s="9">
        <v>158</v>
      </c>
      <c r="C165" s="19" t="s">
        <v>273</v>
      </c>
      <c r="D165" s="18" t="s">
        <v>274</v>
      </c>
      <c r="E165" s="15" t="s">
        <v>275</v>
      </c>
      <c r="F165" s="12">
        <v>65</v>
      </c>
      <c r="G165" s="12" t="str">
        <f t="shared" si="140"/>
        <v>C</v>
      </c>
      <c r="H165" s="12">
        <v>69</v>
      </c>
      <c r="I165" s="12" t="str">
        <f t="shared" si="127"/>
        <v>C</v>
      </c>
      <c r="J165" s="12">
        <v>25</v>
      </c>
      <c r="K165" s="12" t="str">
        <f t="shared" si="128"/>
        <v>F</v>
      </c>
      <c r="L165" s="12">
        <v>55</v>
      </c>
      <c r="M165" s="12" t="str">
        <f t="shared" si="129"/>
        <v>C</v>
      </c>
      <c r="N165" s="12">
        <v>27</v>
      </c>
      <c r="O165" s="12" t="str">
        <f t="shared" si="130"/>
        <v>F</v>
      </c>
      <c r="P165" s="12">
        <v>53</v>
      </c>
      <c r="Q165" s="12" t="str">
        <f t="shared" si="131"/>
        <v>S</v>
      </c>
      <c r="R165" s="12">
        <f t="shared" si="141"/>
        <v>294</v>
      </c>
      <c r="S165" s="12" t="str">
        <f t="shared" si="133"/>
        <v>49%</v>
      </c>
      <c r="T165" s="12">
        <f t="shared" si="134"/>
        <v>0</v>
      </c>
      <c r="U165" s="12">
        <f t="shared" si="135"/>
        <v>3</v>
      </c>
      <c r="V165" s="12">
        <f t="shared" si="136"/>
        <v>1</v>
      </c>
      <c r="W165" s="12">
        <f t="shared" si="137"/>
        <v>2</v>
      </c>
      <c r="X165" s="12">
        <f t="shared" si="138"/>
        <v>0</v>
      </c>
      <c r="Y165" s="19"/>
      <c r="Z165" s="20" t="s">
        <v>6</v>
      </c>
      <c r="AA165" s="12" t="s">
        <v>276</v>
      </c>
      <c r="AB165" s="47"/>
    </row>
    <row r="166" spans="1:34" ht="27" customHeight="1">
      <c r="B166" s="9">
        <v>159</v>
      </c>
      <c r="C166" s="19" t="s">
        <v>277</v>
      </c>
      <c r="D166" s="18">
        <v>200259301527</v>
      </c>
      <c r="E166" s="15" t="s">
        <v>278</v>
      </c>
      <c r="F166" s="12">
        <v>45</v>
      </c>
      <c r="G166" s="12" t="str">
        <f t="shared" si="140"/>
        <v>S</v>
      </c>
      <c r="H166" s="12">
        <v>67</v>
      </c>
      <c r="I166" s="12" t="str">
        <f t="shared" si="127"/>
        <v>C</v>
      </c>
      <c r="J166" s="12">
        <v>36</v>
      </c>
      <c r="K166" s="12" t="str">
        <f t="shared" si="128"/>
        <v>S</v>
      </c>
      <c r="L166" s="12">
        <v>44</v>
      </c>
      <c r="M166" s="12" t="str">
        <f t="shared" si="129"/>
        <v>S</v>
      </c>
      <c r="N166" s="12">
        <v>66</v>
      </c>
      <c r="O166" s="12" t="str">
        <f t="shared" si="130"/>
        <v>C</v>
      </c>
      <c r="P166" s="12">
        <v>58</v>
      </c>
      <c r="Q166" s="12" t="str">
        <f t="shared" si="131"/>
        <v>C</v>
      </c>
      <c r="R166" s="12">
        <f t="shared" si="141"/>
        <v>316</v>
      </c>
      <c r="S166" s="12" t="str">
        <f t="shared" si="133"/>
        <v>53%</v>
      </c>
      <c r="T166" s="12">
        <f t="shared" si="134"/>
        <v>0</v>
      </c>
      <c r="U166" s="12">
        <f t="shared" si="135"/>
        <v>3</v>
      </c>
      <c r="V166" s="12">
        <f t="shared" si="136"/>
        <v>2</v>
      </c>
      <c r="W166" s="12">
        <f t="shared" si="137"/>
        <v>0</v>
      </c>
      <c r="X166" s="12">
        <f t="shared" si="138"/>
        <v>0</v>
      </c>
      <c r="Y166" s="19"/>
      <c r="Z166" s="20" t="str">
        <f t="shared" si="142"/>
        <v>Ordinary Pass</v>
      </c>
      <c r="AA166" s="12"/>
      <c r="AB166" s="47"/>
    </row>
    <row r="167" spans="1:34" ht="27" customHeight="1">
      <c r="B167" s="9">
        <v>160</v>
      </c>
      <c r="C167" s="19" t="s">
        <v>279</v>
      </c>
      <c r="D167" s="18">
        <v>198962101110</v>
      </c>
      <c r="E167" s="15" t="s">
        <v>280</v>
      </c>
      <c r="F167" s="12">
        <v>41</v>
      </c>
      <c r="G167" s="12" t="str">
        <f t="shared" si="140"/>
        <v>S</v>
      </c>
      <c r="H167" s="12">
        <v>57</v>
      </c>
      <c r="I167" s="12" t="str">
        <f t="shared" si="127"/>
        <v>C</v>
      </c>
      <c r="J167" s="12">
        <v>54</v>
      </c>
      <c r="K167" s="12" t="str">
        <f t="shared" si="128"/>
        <v>S</v>
      </c>
      <c r="L167" s="12">
        <v>50</v>
      </c>
      <c r="M167" s="12" t="str">
        <f t="shared" si="129"/>
        <v>S</v>
      </c>
      <c r="N167" s="12">
        <v>56</v>
      </c>
      <c r="O167" s="12" t="str">
        <f t="shared" si="130"/>
        <v>C</v>
      </c>
      <c r="P167" s="12">
        <v>42</v>
      </c>
      <c r="Q167" s="12" t="str">
        <f t="shared" si="131"/>
        <v>S</v>
      </c>
      <c r="R167" s="12">
        <f t="shared" si="141"/>
        <v>300</v>
      </c>
      <c r="S167" s="12" t="str">
        <f t="shared" si="133"/>
        <v>50%</v>
      </c>
      <c r="T167" s="12">
        <f t="shared" si="134"/>
        <v>0</v>
      </c>
      <c r="U167" s="12">
        <f t="shared" si="135"/>
        <v>2</v>
      </c>
      <c r="V167" s="12">
        <f t="shared" si="136"/>
        <v>3</v>
      </c>
      <c r="W167" s="12">
        <f t="shared" si="137"/>
        <v>0</v>
      </c>
      <c r="X167" s="12">
        <f t="shared" si="138"/>
        <v>0</v>
      </c>
      <c r="Y167" s="19"/>
      <c r="Z167" s="20" t="str">
        <f t="shared" si="142"/>
        <v>Ordinary Pass</v>
      </c>
      <c r="AA167" s="12"/>
      <c r="AB167" s="47"/>
    </row>
    <row r="168" spans="1:34" s="10" customFormat="1" ht="25.5" customHeight="1">
      <c r="A168" s="43"/>
      <c r="B168" s="44">
        <v>161</v>
      </c>
      <c r="C168" s="19" t="s">
        <v>1096</v>
      </c>
      <c r="D168" s="45">
        <v>200081401652</v>
      </c>
      <c r="E168" s="46" t="s">
        <v>1097</v>
      </c>
      <c r="F168" s="12">
        <v>68</v>
      </c>
      <c r="G168" s="12" t="str">
        <f t="shared" ref="G168" si="143">IF(F168="-", "AB", IF(F168&gt;=75, "D", IF(F168&gt;=55, "C", IF(F168&gt;=35, "S", IF(F168&gt;=0, "F")))))</f>
        <v>C</v>
      </c>
      <c r="H168" s="12">
        <v>73</v>
      </c>
      <c r="I168" s="12" t="str">
        <f t="shared" ref="I168" si="144">IF(H168="-", "AB", IF(H168&gt;=75, "D", IF(H168&gt;=55, "C", IF(H168&gt;=35, "S", IF(H168&gt;=0, "F")))))</f>
        <v>C</v>
      </c>
      <c r="J168" s="12">
        <v>63</v>
      </c>
      <c r="K168" s="12" t="str">
        <f t="shared" ref="K168" si="145">IF(J168="-", "AB", IF(J168&gt;=75, "D", IF(J168&gt;=55, "C", IF(J168&gt;=35, "S", IF(J168&gt;=0, "F")))))</f>
        <v>C</v>
      </c>
      <c r="L168" s="12">
        <v>56</v>
      </c>
      <c r="M168" s="12" t="str">
        <f t="shared" ref="M168" si="146">IF(L168="-", "AB", IF(L168&gt;=75, "D", IF(L168&gt;=55, "C", IF(L168&gt;=35, "S", IF(L168&gt;=0, "F")))))</f>
        <v>C</v>
      </c>
      <c r="N168" s="12">
        <v>73</v>
      </c>
      <c r="O168" s="12" t="str">
        <f t="shared" ref="O168" si="147">IF(N168="-", "AB", IF(N168&gt;=75, "D", IF(N168&gt;=55, "C", IF(N168&gt;=35, "S", IF(N168&gt;=0, "F")))))</f>
        <v>C</v>
      </c>
      <c r="P168" s="12">
        <v>62</v>
      </c>
      <c r="Q168" s="12" t="str">
        <f t="shared" ref="Q168" si="148">IF(P168="-", "AB", IF(P168&gt;=75, "D", IF(P168&gt;=55, "C", IF(P168&gt;=35, "S", IF(P168&gt;=0, "F")))))</f>
        <v>C</v>
      </c>
      <c r="R168" s="12">
        <f t="shared" ref="R168" si="149">SUM(F168+H168+J168+L168+N168+P168)</f>
        <v>395</v>
      </c>
      <c r="S168" s="12" t="str">
        <f t="shared" ref="S168" si="150">ROUND(R168/6, 0)&amp;"%"</f>
        <v>66%</v>
      </c>
      <c r="T168" s="35">
        <f t="shared" ref="T168" si="151">COUNTIF(F168:Q168, "D")</f>
        <v>0</v>
      </c>
      <c r="U168" s="12">
        <f t="shared" ref="U168" si="152">COUNTIF(G168:T168, "C")</f>
        <v>6</v>
      </c>
      <c r="V168" s="12">
        <f t="shared" ref="V168" si="153">COUNTIF(H168:U168, "S")</f>
        <v>0</v>
      </c>
      <c r="W168" s="12">
        <f t="shared" ref="W168" si="154">COUNTIF(I168:V168, "F")</f>
        <v>0</v>
      </c>
      <c r="X168" s="28">
        <f t="shared" ref="X168" si="155">COUNTIF(F168:W168, "-")</f>
        <v>0</v>
      </c>
      <c r="Y168" s="14"/>
      <c r="Z168" s="37" t="s">
        <v>10</v>
      </c>
      <c r="AA168" s="12"/>
      <c r="AB168" s="44"/>
      <c r="AC168" s="43"/>
      <c r="AD168" s="43"/>
      <c r="AE168" s="43"/>
      <c r="AF168" s="43"/>
      <c r="AG168" s="43"/>
      <c r="AH168" s="43"/>
    </row>
    <row r="169" spans="1:34" ht="27" customHeight="1">
      <c r="B169" s="9">
        <v>162</v>
      </c>
      <c r="C169" s="19" t="s">
        <v>281</v>
      </c>
      <c r="D169" s="18">
        <v>200370911969</v>
      </c>
      <c r="E169" s="15" t="s">
        <v>282</v>
      </c>
      <c r="F169" s="12">
        <v>43</v>
      </c>
      <c r="G169" s="12" t="str">
        <f t="shared" ref="G169:G174" si="156">IF(F169="-", "AB", IF(F169&gt;=75, "D", IF(F169&gt;=55, "C", IF(F169&gt;=35, "S", IF(F169&gt;=0, "F")))))</f>
        <v>S</v>
      </c>
      <c r="H169" s="12">
        <v>53</v>
      </c>
      <c r="I169" s="12" t="str">
        <f t="shared" ref="I169:I187" si="157">IF(H169="-", "AB", IF(H169&gt;=75, "D", IF(H169&gt;=55, "C", IF(H169&gt;=35, "S", IF(H169&gt;=0, "F")))))</f>
        <v>S</v>
      </c>
      <c r="J169" s="12">
        <v>26</v>
      </c>
      <c r="K169" s="12" t="str">
        <f t="shared" ref="K169:K187" si="158">IF(J169="-", "AB", IF(J169&gt;=75, "D", IF(J169&gt;=55, "C", IF(J169&gt;=35, "S", IF(J169&gt;=0, "F")))))</f>
        <v>F</v>
      </c>
      <c r="L169" s="12">
        <v>50</v>
      </c>
      <c r="M169" s="12" t="str">
        <f t="shared" ref="M169:M187" si="159">IF(L169="-", "AB", IF(L169&gt;=75, "D", IF(L169&gt;=55, "C", IF(L169&gt;=35, "S", IF(L169&gt;=0, "F")))))</f>
        <v>S</v>
      </c>
      <c r="N169" s="12">
        <v>67</v>
      </c>
      <c r="O169" s="12" t="str">
        <f t="shared" ref="O169:O187" si="160">IF(N169="-", "AB", IF(N169&gt;=75, "D", IF(N169&gt;=55, "C", IF(N169&gt;=35, "S", IF(N169&gt;=0, "F")))))</f>
        <v>C</v>
      </c>
      <c r="P169" s="12">
        <v>69</v>
      </c>
      <c r="Q169" s="12" t="str">
        <f t="shared" ref="Q169:Q187" si="161">IF(P169="-", "AB", IF(P169&gt;=75, "D", IF(P169&gt;=55, "C", IF(P169&gt;=35, "S", IF(P169&gt;=0, "F")))))</f>
        <v>C</v>
      </c>
      <c r="R169" s="12">
        <f t="shared" ref="R169:R174" si="162">SUM(F169+H169+J169+L169+N169+P169)</f>
        <v>308</v>
      </c>
      <c r="S169" s="12" t="str">
        <f t="shared" ref="S169:S187" si="163">ROUND(R169/6, 0)&amp;"%"</f>
        <v>51%</v>
      </c>
      <c r="T169" s="12">
        <f t="shared" ref="T169:T187" si="164">COUNTIF(F169:Q169, "D")</f>
        <v>0</v>
      </c>
      <c r="U169" s="12">
        <f t="shared" ref="U169:U187" si="165">COUNTIF(G169:T169, "C")</f>
        <v>2</v>
      </c>
      <c r="V169" s="12">
        <f t="shared" ref="V169:V187" si="166">COUNTIF(H169:U169, "S")</f>
        <v>2</v>
      </c>
      <c r="W169" s="12">
        <f t="shared" ref="W169:W187" si="167">COUNTIF(I169:V169, "F")</f>
        <v>1</v>
      </c>
      <c r="X169" s="12">
        <f t="shared" ref="X169:X187" si="168">COUNTIF(F169:W169, "-")</f>
        <v>0</v>
      </c>
      <c r="Y169" s="19"/>
      <c r="Z169" s="20" t="s">
        <v>6</v>
      </c>
      <c r="AA169" s="12" t="s">
        <v>84</v>
      </c>
      <c r="AB169" s="47"/>
    </row>
    <row r="170" spans="1:34" ht="27" customHeight="1">
      <c r="B170" s="9">
        <v>163</v>
      </c>
      <c r="C170" s="19" t="s">
        <v>283</v>
      </c>
      <c r="D170" s="18" t="s">
        <v>284</v>
      </c>
      <c r="E170" s="15" t="s">
        <v>285</v>
      </c>
      <c r="F170" s="12">
        <v>45</v>
      </c>
      <c r="G170" s="12" t="str">
        <f t="shared" si="156"/>
        <v>S</v>
      </c>
      <c r="H170" s="12">
        <v>68</v>
      </c>
      <c r="I170" s="12" t="str">
        <f t="shared" si="157"/>
        <v>C</v>
      </c>
      <c r="J170" s="12">
        <v>23</v>
      </c>
      <c r="K170" s="12" t="str">
        <f t="shared" si="158"/>
        <v>F</v>
      </c>
      <c r="L170" s="12">
        <v>35</v>
      </c>
      <c r="M170" s="12" t="str">
        <f t="shared" si="159"/>
        <v>S</v>
      </c>
      <c r="N170" s="12">
        <v>41</v>
      </c>
      <c r="O170" s="12" t="str">
        <f t="shared" si="160"/>
        <v>S</v>
      </c>
      <c r="P170" s="12">
        <v>51</v>
      </c>
      <c r="Q170" s="12" t="str">
        <f t="shared" si="161"/>
        <v>S</v>
      </c>
      <c r="R170" s="12">
        <f t="shared" si="162"/>
        <v>263</v>
      </c>
      <c r="S170" s="12" t="str">
        <f t="shared" si="163"/>
        <v>44%</v>
      </c>
      <c r="T170" s="12">
        <f t="shared" si="164"/>
        <v>0</v>
      </c>
      <c r="U170" s="12">
        <f t="shared" si="165"/>
        <v>1</v>
      </c>
      <c r="V170" s="12">
        <f t="shared" si="166"/>
        <v>3</v>
      </c>
      <c r="W170" s="12">
        <f t="shared" si="167"/>
        <v>1</v>
      </c>
      <c r="X170" s="12">
        <f t="shared" si="168"/>
        <v>0</v>
      </c>
      <c r="Y170" s="19"/>
      <c r="Z170" s="20" t="s">
        <v>6</v>
      </c>
      <c r="AA170" s="12" t="s">
        <v>84</v>
      </c>
      <c r="AB170" s="47"/>
    </row>
    <row r="171" spans="1:34" ht="27" customHeight="1">
      <c r="B171" s="9">
        <v>164</v>
      </c>
      <c r="C171" s="19" t="s">
        <v>286</v>
      </c>
      <c r="D171" s="18" t="s">
        <v>287</v>
      </c>
      <c r="E171" s="15" t="s">
        <v>288</v>
      </c>
      <c r="F171" s="12">
        <v>42</v>
      </c>
      <c r="G171" s="12" t="str">
        <f t="shared" si="156"/>
        <v>S</v>
      </c>
      <c r="H171" s="12">
        <v>67</v>
      </c>
      <c r="I171" s="12" t="str">
        <f t="shared" si="157"/>
        <v>C</v>
      </c>
      <c r="J171" s="12">
        <v>12</v>
      </c>
      <c r="K171" s="12" t="str">
        <f t="shared" si="158"/>
        <v>F</v>
      </c>
      <c r="L171" s="12">
        <v>45</v>
      </c>
      <c r="M171" s="12" t="str">
        <f t="shared" si="159"/>
        <v>S</v>
      </c>
      <c r="N171" s="12">
        <v>56</v>
      </c>
      <c r="O171" s="12" t="str">
        <f t="shared" si="160"/>
        <v>C</v>
      </c>
      <c r="P171" s="12">
        <v>46</v>
      </c>
      <c r="Q171" s="12" t="str">
        <f t="shared" si="161"/>
        <v>S</v>
      </c>
      <c r="R171" s="12">
        <f t="shared" si="162"/>
        <v>268</v>
      </c>
      <c r="S171" s="12" t="str">
        <f t="shared" si="163"/>
        <v>45%</v>
      </c>
      <c r="T171" s="12">
        <f t="shared" si="164"/>
        <v>0</v>
      </c>
      <c r="U171" s="12">
        <f t="shared" si="165"/>
        <v>2</v>
      </c>
      <c r="V171" s="12">
        <f t="shared" si="166"/>
        <v>2</v>
      </c>
      <c r="W171" s="12">
        <f t="shared" si="167"/>
        <v>1</v>
      </c>
      <c r="X171" s="12">
        <f t="shared" si="168"/>
        <v>0</v>
      </c>
      <c r="Y171" s="19"/>
      <c r="Z171" s="20" t="s">
        <v>6</v>
      </c>
      <c r="AA171" s="12" t="s">
        <v>84</v>
      </c>
      <c r="AB171" s="47"/>
    </row>
    <row r="172" spans="1:34" ht="27" customHeight="1">
      <c r="B172" s="9">
        <v>165</v>
      </c>
      <c r="C172" s="19" t="s">
        <v>289</v>
      </c>
      <c r="D172" s="18" t="s">
        <v>290</v>
      </c>
      <c r="E172" s="15" t="s">
        <v>291</v>
      </c>
      <c r="F172" s="12">
        <v>29</v>
      </c>
      <c r="G172" s="12" t="str">
        <f t="shared" si="156"/>
        <v>F</v>
      </c>
      <c r="H172" s="12">
        <v>48</v>
      </c>
      <c r="I172" s="12" t="str">
        <f t="shared" si="157"/>
        <v>S</v>
      </c>
      <c r="J172" s="12">
        <v>20</v>
      </c>
      <c r="K172" s="12" t="str">
        <f t="shared" si="158"/>
        <v>F</v>
      </c>
      <c r="L172" s="12">
        <v>35</v>
      </c>
      <c r="M172" s="12" t="str">
        <f t="shared" si="159"/>
        <v>S</v>
      </c>
      <c r="N172" s="12">
        <v>55</v>
      </c>
      <c r="O172" s="12" t="str">
        <f t="shared" si="160"/>
        <v>C</v>
      </c>
      <c r="P172" s="12">
        <v>48</v>
      </c>
      <c r="Q172" s="12" t="str">
        <f t="shared" si="161"/>
        <v>S</v>
      </c>
      <c r="R172" s="12">
        <f t="shared" si="162"/>
        <v>235</v>
      </c>
      <c r="S172" s="12" t="str">
        <f t="shared" si="163"/>
        <v>39%</v>
      </c>
      <c r="T172" s="12">
        <f t="shared" si="164"/>
        <v>0</v>
      </c>
      <c r="U172" s="12">
        <f t="shared" si="165"/>
        <v>1</v>
      </c>
      <c r="V172" s="12">
        <f t="shared" si="166"/>
        <v>3</v>
      </c>
      <c r="W172" s="12">
        <f t="shared" si="167"/>
        <v>1</v>
      </c>
      <c r="X172" s="12">
        <f t="shared" si="168"/>
        <v>0</v>
      </c>
      <c r="Y172" s="19"/>
      <c r="Z172" s="20" t="s">
        <v>6</v>
      </c>
      <c r="AA172" s="12" t="s">
        <v>292</v>
      </c>
      <c r="AB172" s="47"/>
    </row>
    <row r="173" spans="1:34" ht="27" customHeight="1">
      <c r="B173" s="9">
        <v>166</v>
      </c>
      <c r="C173" s="19" t="s">
        <v>293</v>
      </c>
      <c r="D173" s="18" t="s">
        <v>294</v>
      </c>
      <c r="E173" s="15" t="s">
        <v>295</v>
      </c>
      <c r="F173" s="12">
        <v>47</v>
      </c>
      <c r="G173" s="12" t="str">
        <f t="shared" si="156"/>
        <v>S</v>
      </c>
      <c r="H173" s="12">
        <v>64</v>
      </c>
      <c r="I173" s="12" t="str">
        <f t="shared" si="157"/>
        <v>C</v>
      </c>
      <c r="J173" s="12">
        <v>37</v>
      </c>
      <c r="K173" s="12" t="str">
        <f t="shared" si="158"/>
        <v>S</v>
      </c>
      <c r="L173" s="12">
        <v>46</v>
      </c>
      <c r="M173" s="12" t="str">
        <f t="shared" si="159"/>
        <v>S</v>
      </c>
      <c r="N173" s="12">
        <v>58</v>
      </c>
      <c r="O173" s="12" t="str">
        <f t="shared" si="160"/>
        <v>C</v>
      </c>
      <c r="P173" s="12">
        <v>58</v>
      </c>
      <c r="Q173" s="12" t="str">
        <f t="shared" si="161"/>
        <v>C</v>
      </c>
      <c r="R173" s="12">
        <f t="shared" si="162"/>
        <v>310</v>
      </c>
      <c r="S173" s="12" t="str">
        <f t="shared" si="163"/>
        <v>52%</v>
      </c>
      <c r="T173" s="12">
        <f t="shared" si="164"/>
        <v>0</v>
      </c>
      <c r="U173" s="12">
        <f t="shared" si="165"/>
        <v>3</v>
      </c>
      <c r="V173" s="12">
        <f t="shared" si="166"/>
        <v>2</v>
      </c>
      <c r="W173" s="12">
        <f t="shared" si="167"/>
        <v>0</v>
      </c>
      <c r="X173" s="12">
        <f t="shared" si="168"/>
        <v>0</v>
      </c>
      <c r="Y173" s="19"/>
      <c r="Z173" s="20" t="str">
        <f t="shared" ref="Z173" si="169">IF(X173&gt;0, "Not Completed",
   IF(T173=10, "First Class",
      IF(S173&gt;75, IF(V173&gt;0, "Ordinary Pass", "First Class"),
         IF(S173&gt;65, IF(V173&gt;0, "Ordinary Pass", "Second Class"), "none")
      )
   )
)</f>
        <v>Ordinary Pass</v>
      </c>
      <c r="AA173" s="12"/>
      <c r="AB173" s="47"/>
    </row>
    <row r="174" spans="1:34" ht="27" customHeight="1">
      <c r="B174" s="9">
        <v>167</v>
      </c>
      <c r="C174" s="19" t="s">
        <v>296</v>
      </c>
      <c r="D174" s="18">
        <v>200469401174</v>
      </c>
      <c r="E174" s="15" t="s">
        <v>297</v>
      </c>
      <c r="F174" s="12">
        <v>36</v>
      </c>
      <c r="G174" s="12" t="str">
        <f t="shared" si="156"/>
        <v>S</v>
      </c>
      <c r="H174" s="12">
        <v>54</v>
      </c>
      <c r="I174" s="12" t="str">
        <f t="shared" si="157"/>
        <v>S</v>
      </c>
      <c r="J174" s="12">
        <v>38</v>
      </c>
      <c r="K174" s="12" t="str">
        <f t="shared" si="158"/>
        <v>S</v>
      </c>
      <c r="L174" s="12">
        <v>35</v>
      </c>
      <c r="M174" s="12" t="str">
        <f t="shared" si="159"/>
        <v>S</v>
      </c>
      <c r="N174" s="12">
        <v>50</v>
      </c>
      <c r="O174" s="12" t="str">
        <f t="shared" si="160"/>
        <v>S</v>
      </c>
      <c r="P174" s="12">
        <v>37</v>
      </c>
      <c r="Q174" s="12" t="str">
        <f t="shared" si="161"/>
        <v>S</v>
      </c>
      <c r="R174" s="12">
        <f t="shared" si="162"/>
        <v>250</v>
      </c>
      <c r="S174" s="12" t="str">
        <f t="shared" si="163"/>
        <v>42%</v>
      </c>
      <c r="T174" s="12">
        <f t="shared" si="164"/>
        <v>0</v>
      </c>
      <c r="U174" s="12">
        <f t="shared" si="165"/>
        <v>0</v>
      </c>
      <c r="V174" s="12">
        <f t="shared" si="166"/>
        <v>5</v>
      </c>
      <c r="W174" s="12">
        <f t="shared" si="167"/>
        <v>0</v>
      </c>
      <c r="X174" s="12">
        <f t="shared" si="168"/>
        <v>0</v>
      </c>
      <c r="Y174" s="19"/>
      <c r="Z174" s="20" t="s">
        <v>9</v>
      </c>
      <c r="AA174" s="12"/>
      <c r="AB174" s="47"/>
    </row>
    <row r="175" spans="1:34" ht="27" customHeight="1">
      <c r="B175" s="9">
        <v>168</v>
      </c>
      <c r="C175" s="16" t="s">
        <v>298</v>
      </c>
      <c r="D175" s="17" t="s">
        <v>299</v>
      </c>
      <c r="E175" s="15" t="s">
        <v>300</v>
      </c>
      <c r="F175" s="1">
        <v>69</v>
      </c>
      <c r="G175" s="12" t="str">
        <f>IF(F175="-", "AB", IF(F175&gt;=75, "D", IF(F175&gt;=55, "C", IF(F175&gt;=35, "S", IF(F175&gt;=0, "F")))))</f>
        <v>C</v>
      </c>
      <c r="H175" s="12">
        <v>69</v>
      </c>
      <c r="I175" s="12" t="str">
        <f t="shared" si="157"/>
        <v>C</v>
      </c>
      <c r="J175" s="12">
        <v>96</v>
      </c>
      <c r="K175" s="12" t="str">
        <f t="shared" si="158"/>
        <v>D</v>
      </c>
      <c r="L175" s="12">
        <v>74</v>
      </c>
      <c r="M175" s="12" t="str">
        <f t="shared" si="159"/>
        <v>C</v>
      </c>
      <c r="N175" s="12">
        <v>71</v>
      </c>
      <c r="O175" s="12" t="str">
        <f t="shared" si="160"/>
        <v>C</v>
      </c>
      <c r="P175" s="12">
        <v>70</v>
      </c>
      <c r="Q175" s="12" t="str">
        <f t="shared" si="161"/>
        <v>C</v>
      </c>
      <c r="R175" s="12">
        <f>SUM(F175+H175+J175+L175+N175+P175)</f>
        <v>449</v>
      </c>
      <c r="S175" s="12" t="str">
        <f t="shared" si="163"/>
        <v>75%</v>
      </c>
      <c r="T175" s="12">
        <f t="shared" si="164"/>
        <v>1</v>
      </c>
      <c r="U175" s="12">
        <f t="shared" si="165"/>
        <v>5</v>
      </c>
      <c r="V175" s="12">
        <f t="shared" si="166"/>
        <v>0</v>
      </c>
      <c r="W175" s="12">
        <f t="shared" si="167"/>
        <v>0</v>
      </c>
      <c r="X175" s="12">
        <f t="shared" si="168"/>
        <v>0</v>
      </c>
      <c r="Y175" s="19"/>
      <c r="Z175" s="20" t="str">
        <f>IF(X175&gt;0, "Not Completed",
   IF(T175=10, "First Class",
      IF(S175&gt;75, IF(V175&gt;0, "Ordinary Pass", "First Class"),
         IF(S175&gt;65, IF(V175&gt;0, "Ordinary Pass", "Second Class"), "none")
      )
   )
)</f>
        <v>First Class</v>
      </c>
      <c r="AA175" s="12"/>
      <c r="AB175" s="47"/>
    </row>
    <row r="176" spans="1:34" ht="27" customHeight="1">
      <c r="B176" s="9">
        <v>169</v>
      </c>
      <c r="C176" s="16" t="s">
        <v>301</v>
      </c>
      <c r="D176" s="18" t="s">
        <v>302</v>
      </c>
      <c r="E176" s="15" t="s">
        <v>303</v>
      </c>
      <c r="F176" s="12">
        <v>69</v>
      </c>
      <c r="G176" s="12" t="str">
        <f t="shared" ref="G176:G187" si="170">IF(F176="-", "AB", IF(F176&gt;=75, "D", IF(F176&gt;=55, "C", IF(F176&gt;=35, "S", IF(F176&gt;=0, "F")))))</f>
        <v>C</v>
      </c>
      <c r="H176" s="12">
        <v>61</v>
      </c>
      <c r="I176" s="12" t="str">
        <f t="shared" si="157"/>
        <v>C</v>
      </c>
      <c r="J176" s="12">
        <v>61</v>
      </c>
      <c r="K176" s="12" t="str">
        <f t="shared" si="158"/>
        <v>C</v>
      </c>
      <c r="L176" s="12">
        <v>81</v>
      </c>
      <c r="M176" s="12" t="str">
        <f t="shared" si="159"/>
        <v>D</v>
      </c>
      <c r="N176" s="12">
        <v>69</v>
      </c>
      <c r="O176" s="12" t="str">
        <f t="shared" si="160"/>
        <v>C</v>
      </c>
      <c r="P176" s="12">
        <v>75</v>
      </c>
      <c r="Q176" s="12" t="str">
        <f t="shared" si="161"/>
        <v>D</v>
      </c>
      <c r="R176" s="12">
        <f t="shared" ref="R176:R183" si="171">SUM(F176+H176+J176+L176+N176+P176)</f>
        <v>416</v>
      </c>
      <c r="S176" s="12" t="str">
        <f t="shared" si="163"/>
        <v>69%</v>
      </c>
      <c r="T176" s="12">
        <f t="shared" si="164"/>
        <v>2</v>
      </c>
      <c r="U176" s="12">
        <f t="shared" si="165"/>
        <v>4</v>
      </c>
      <c r="V176" s="12">
        <f t="shared" si="166"/>
        <v>0</v>
      </c>
      <c r="W176" s="12">
        <f t="shared" si="167"/>
        <v>0</v>
      </c>
      <c r="X176" s="12">
        <f t="shared" si="168"/>
        <v>0</v>
      </c>
      <c r="Y176" s="19"/>
      <c r="Z176" s="20" t="s">
        <v>10</v>
      </c>
      <c r="AA176" s="12"/>
      <c r="AB176" s="47"/>
    </row>
    <row r="177" spans="2:28" ht="27" customHeight="1">
      <c r="B177" s="9">
        <v>170</v>
      </c>
      <c r="C177" s="16" t="s">
        <v>304</v>
      </c>
      <c r="D177" s="18">
        <v>200259503210</v>
      </c>
      <c r="E177" s="15" t="s">
        <v>305</v>
      </c>
      <c r="F177" s="12" t="s">
        <v>14</v>
      </c>
      <c r="G177" s="12" t="str">
        <f t="shared" si="170"/>
        <v>AB</v>
      </c>
      <c r="H177" s="12" t="s">
        <v>14</v>
      </c>
      <c r="I177" s="12" t="str">
        <f t="shared" si="157"/>
        <v>AB</v>
      </c>
      <c r="J177" s="12" t="s">
        <v>14</v>
      </c>
      <c r="K177" s="12" t="str">
        <f t="shared" si="158"/>
        <v>AB</v>
      </c>
      <c r="L177" s="12" t="s">
        <v>14</v>
      </c>
      <c r="M177" s="12" t="str">
        <f t="shared" si="159"/>
        <v>AB</v>
      </c>
      <c r="N177" s="12" t="s">
        <v>14</v>
      </c>
      <c r="O177" s="12" t="str">
        <f t="shared" si="160"/>
        <v>AB</v>
      </c>
      <c r="P177" s="12" t="s">
        <v>14</v>
      </c>
      <c r="Q177" s="12" t="str">
        <f t="shared" si="161"/>
        <v>AB</v>
      </c>
      <c r="R177" s="12">
        <v>0</v>
      </c>
      <c r="S177" s="12" t="str">
        <f t="shared" si="163"/>
        <v>0%</v>
      </c>
      <c r="T177" s="12">
        <f t="shared" si="164"/>
        <v>0</v>
      </c>
      <c r="U177" s="12">
        <f t="shared" si="165"/>
        <v>0</v>
      </c>
      <c r="V177" s="12">
        <f t="shared" si="166"/>
        <v>0</v>
      </c>
      <c r="W177" s="12">
        <f t="shared" si="167"/>
        <v>0</v>
      </c>
      <c r="X177" s="12">
        <f t="shared" si="168"/>
        <v>6</v>
      </c>
      <c r="Y177" s="19"/>
      <c r="Z177" s="20" t="s">
        <v>7</v>
      </c>
      <c r="AA177" s="12"/>
      <c r="AB177" s="47"/>
    </row>
    <row r="178" spans="2:28" ht="27" customHeight="1">
      <c r="B178" s="9">
        <v>171</v>
      </c>
      <c r="C178" s="16" t="s">
        <v>306</v>
      </c>
      <c r="D178" s="18">
        <v>199969001203</v>
      </c>
      <c r="E178" s="15" t="s">
        <v>307</v>
      </c>
      <c r="F178" s="12">
        <v>66</v>
      </c>
      <c r="G178" s="12" t="str">
        <f t="shared" si="170"/>
        <v>C</v>
      </c>
      <c r="H178" s="12">
        <v>68</v>
      </c>
      <c r="I178" s="12" t="str">
        <f t="shared" si="157"/>
        <v>C</v>
      </c>
      <c r="J178" s="12">
        <v>89</v>
      </c>
      <c r="K178" s="12" t="str">
        <f t="shared" si="158"/>
        <v>D</v>
      </c>
      <c r="L178" s="12">
        <v>62</v>
      </c>
      <c r="M178" s="12" t="str">
        <f t="shared" si="159"/>
        <v>C</v>
      </c>
      <c r="N178" s="12">
        <v>55</v>
      </c>
      <c r="O178" s="12" t="str">
        <f t="shared" si="160"/>
        <v>C</v>
      </c>
      <c r="P178" s="12">
        <v>70</v>
      </c>
      <c r="Q178" s="12" t="str">
        <f t="shared" si="161"/>
        <v>C</v>
      </c>
      <c r="R178" s="12">
        <f t="shared" si="171"/>
        <v>410</v>
      </c>
      <c r="S178" s="12" t="str">
        <f t="shared" si="163"/>
        <v>68%</v>
      </c>
      <c r="T178" s="12">
        <f t="shared" si="164"/>
        <v>1</v>
      </c>
      <c r="U178" s="12">
        <f t="shared" si="165"/>
        <v>5</v>
      </c>
      <c r="V178" s="12">
        <f t="shared" si="166"/>
        <v>0</v>
      </c>
      <c r="W178" s="12">
        <f t="shared" si="167"/>
        <v>0</v>
      </c>
      <c r="X178" s="12">
        <f t="shared" si="168"/>
        <v>0</v>
      </c>
      <c r="Y178" s="19"/>
      <c r="Z178" s="20" t="s">
        <v>10</v>
      </c>
      <c r="AA178" s="12"/>
      <c r="AB178" s="47"/>
    </row>
    <row r="179" spans="2:28" ht="27" customHeight="1">
      <c r="B179" s="9">
        <v>172</v>
      </c>
      <c r="C179" s="16" t="s">
        <v>308</v>
      </c>
      <c r="D179" s="18" t="s">
        <v>309</v>
      </c>
      <c r="E179" s="15" t="s">
        <v>310</v>
      </c>
      <c r="F179" s="12">
        <v>38</v>
      </c>
      <c r="G179" s="12" t="str">
        <f t="shared" si="170"/>
        <v>S</v>
      </c>
      <c r="H179" s="12">
        <v>68</v>
      </c>
      <c r="I179" s="12" t="str">
        <f t="shared" si="157"/>
        <v>C</v>
      </c>
      <c r="J179" s="12">
        <v>64</v>
      </c>
      <c r="K179" s="12" t="str">
        <f t="shared" si="158"/>
        <v>C</v>
      </c>
      <c r="L179" s="12">
        <v>54</v>
      </c>
      <c r="M179" s="12" t="str">
        <f t="shared" si="159"/>
        <v>S</v>
      </c>
      <c r="N179" s="12">
        <v>46</v>
      </c>
      <c r="O179" s="12" t="str">
        <f t="shared" si="160"/>
        <v>S</v>
      </c>
      <c r="P179" s="12">
        <v>69</v>
      </c>
      <c r="Q179" s="12" t="str">
        <f t="shared" si="161"/>
        <v>C</v>
      </c>
      <c r="R179" s="12">
        <f t="shared" si="171"/>
        <v>339</v>
      </c>
      <c r="S179" s="12" t="str">
        <f t="shared" si="163"/>
        <v>57%</v>
      </c>
      <c r="T179" s="12">
        <f t="shared" si="164"/>
        <v>0</v>
      </c>
      <c r="U179" s="12">
        <f t="shared" si="165"/>
        <v>3</v>
      </c>
      <c r="V179" s="12">
        <f t="shared" si="166"/>
        <v>2</v>
      </c>
      <c r="W179" s="12">
        <f t="shared" si="167"/>
        <v>0</v>
      </c>
      <c r="X179" s="12">
        <f t="shared" si="168"/>
        <v>0</v>
      </c>
      <c r="Y179" s="19"/>
      <c r="Z179" s="20" t="str">
        <f t="shared" ref="Z179:Z183" si="172">IF(X179&gt;0, "Not Completed",
   IF(T179=10, "First Class",
      IF(S179&gt;75, IF(V179&gt;0, "Ordinary Pass", "First Class"),
         IF(S179&gt;65, IF(V179&gt;0, "Ordinary Pass", "Second Class"), "none")
      )
   )
)</f>
        <v>Ordinary Pass</v>
      </c>
      <c r="AA179" s="12"/>
      <c r="AB179" s="47"/>
    </row>
    <row r="180" spans="2:28" ht="27" customHeight="1">
      <c r="B180" s="9">
        <v>173</v>
      </c>
      <c r="C180" s="16" t="s">
        <v>311</v>
      </c>
      <c r="D180" s="18">
        <v>200260101456</v>
      </c>
      <c r="E180" s="15" t="s">
        <v>312</v>
      </c>
      <c r="F180" s="12">
        <v>42</v>
      </c>
      <c r="G180" s="12" t="str">
        <f t="shared" si="170"/>
        <v>S</v>
      </c>
      <c r="H180" s="12">
        <v>65</v>
      </c>
      <c r="I180" s="12" t="str">
        <f t="shared" si="157"/>
        <v>C</v>
      </c>
      <c r="J180" s="12">
        <v>64</v>
      </c>
      <c r="K180" s="12" t="str">
        <f t="shared" si="158"/>
        <v>C</v>
      </c>
      <c r="L180" s="12">
        <v>58</v>
      </c>
      <c r="M180" s="12" t="str">
        <f t="shared" si="159"/>
        <v>C</v>
      </c>
      <c r="N180" s="12">
        <v>41</v>
      </c>
      <c r="O180" s="12" t="str">
        <f t="shared" si="160"/>
        <v>S</v>
      </c>
      <c r="P180" s="12">
        <v>65</v>
      </c>
      <c r="Q180" s="12" t="str">
        <f t="shared" si="161"/>
        <v>C</v>
      </c>
      <c r="R180" s="12">
        <f t="shared" si="171"/>
        <v>335</v>
      </c>
      <c r="S180" s="12" t="str">
        <f t="shared" si="163"/>
        <v>56%</v>
      </c>
      <c r="T180" s="12">
        <f t="shared" si="164"/>
        <v>0</v>
      </c>
      <c r="U180" s="12">
        <f t="shared" si="165"/>
        <v>4</v>
      </c>
      <c r="V180" s="12">
        <f t="shared" si="166"/>
        <v>1</v>
      </c>
      <c r="W180" s="12">
        <f t="shared" si="167"/>
        <v>0</v>
      </c>
      <c r="X180" s="12">
        <f t="shared" si="168"/>
        <v>0</v>
      </c>
      <c r="Y180" s="19"/>
      <c r="Z180" s="20" t="str">
        <f t="shared" si="172"/>
        <v>Ordinary Pass</v>
      </c>
      <c r="AA180" s="12"/>
      <c r="AB180" s="47"/>
    </row>
    <row r="181" spans="2:28" ht="27" customHeight="1">
      <c r="B181" s="9">
        <v>174</v>
      </c>
      <c r="C181" s="16" t="s">
        <v>313</v>
      </c>
      <c r="D181" s="18" t="s">
        <v>314</v>
      </c>
      <c r="E181" s="15" t="s">
        <v>315</v>
      </c>
      <c r="F181" s="12">
        <v>48</v>
      </c>
      <c r="G181" s="12" t="str">
        <f t="shared" si="170"/>
        <v>S</v>
      </c>
      <c r="H181" s="12">
        <v>68</v>
      </c>
      <c r="I181" s="12" t="str">
        <f t="shared" si="157"/>
        <v>C</v>
      </c>
      <c r="J181" s="12">
        <v>87</v>
      </c>
      <c r="K181" s="12" t="str">
        <f t="shared" si="158"/>
        <v>D</v>
      </c>
      <c r="L181" s="12">
        <v>54</v>
      </c>
      <c r="M181" s="12" t="str">
        <f t="shared" si="159"/>
        <v>S</v>
      </c>
      <c r="N181" s="12">
        <v>66</v>
      </c>
      <c r="O181" s="12" t="str">
        <f t="shared" si="160"/>
        <v>C</v>
      </c>
      <c r="P181" s="12">
        <v>68</v>
      </c>
      <c r="Q181" s="12" t="str">
        <f t="shared" si="161"/>
        <v>C</v>
      </c>
      <c r="R181" s="12">
        <f t="shared" si="171"/>
        <v>391</v>
      </c>
      <c r="S181" s="12" t="str">
        <f t="shared" si="163"/>
        <v>65%</v>
      </c>
      <c r="T181" s="12">
        <f t="shared" si="164"/>
        <v>1</v>
      </c>
      <c r="U181" s="12">
        <f t="shared" si="165"/>
        <v>3</v>
      </c>
      <c r="V181" s="12">
        <f t="shared" si="166"/>
        <v>1</v>
      </c>
      <c r="W181" s="12">
        <f t="shared" si="167"/>
        <v>0</v>
      </c>
      <c r="X181" s="12">
        <f t="shared" si="168"/>
        <v>0</v>
      </c>
      <c r="Y181" s="19"/>
      <c r="Z181" s="20" t="str">
        <f t="shared" si="172"/>
        <v>Ordinary Pass</v>
      </c>
      <c r="AA181" s="12"/>
      <c r="AB181" s="47"/>
    </row>
    <row r="182" spans="2:28" ht="27" customHeight="1">
      <c r="B182" s="9">
        <v>175</v>
      </c>
      <c r="C182" s="16" t="s">
        <v>316</v>
      </c>
      <c r="D182" s="18" t="s">
        <v>317</v>
      </c>
      <c r="E182" s="15" t="s">
        <v>318</v>
      </c>
      <c r="F182" s="12">
        <v>46</v>
      </c>
      <c r="G182" s="12" t="str">
        <f t="shared" si="170"/>
        <v>S</v>
      </c>
      <c r="H182" s="12">
        <v>64</v>
      </c>
      <c r="I182" s="12" t="str">
        <f t="shared" si="157"/>
        <v>C</v>
      </c>
      <c r="J182" s="12">
        <v>80</v>
      </c>
      <c r="K182" s="12" t="str">
        <f t="shared" si="158"/>
        <v>D</v>
      </c>
      <c r="L182" s="12">
        <v>55</v>
      </c>
      <c r="M182" s="12" t="str">
        <f t="shared" si="159"/>
        <v>C</v>
      </c>
      <c r="N182" s="12">
        <v>56</v>
      </c>
      <c r="O182" s="12" t="str">
        <f t="shared" si="160"/>
        <v>C</v>
      </c>
      <c r="P182" s="12">
        <v>64</v>
      </c>
      <c r="Q182" s="12" t="str">
        <f t="shared" si="161"/>
        <v>C</v>
      </c>
      <c r="R182" s="12">
        <f t="shared" si="171"/>
        <v>365</v>
      </c>
      <c r="S182" s="12" t="str">
        <f t="shared" si="163"/>
        <v>61%</v>
      </c>
      <c r="T182" s="12">
        <f t="shared" si="164"/>
        <v>1</v>
      </c>
      <c r="U182" s="12">
        <f t="shared" si="165"/>
        <v>4</v>
      </c>
      <c r="V182" s="12">
        <f t="shared" si="166"/>
        <v>0</v>
      </c>
      <c r="W182" s="12">
        <f t="shared" si="167"/>
        <v>0</v>
      </c>
      <c r="X182" s="12">
        <f t="shared" si="168"/>
        <v>0</v>
      </c>
      <c r="Y182" s="19"/>
      <c r="Z182" s="20" t="s">
        <v>9</v>
      </c>
      <c r="AA182" s="12"/>
      <c r="AB182" s="47"/>
    </row>
    <row r="183" spans="2:28" ht="27" customHeight="1">
      <c r="B183" s="9">
        <v>176</v>
      </c>
      <c r="C183" s="16" t="s">
        <v>319</v>
      </c>
      <c r="D183" s="18">
        <v>200422401003</v>
      </c>
      <c r="E183" s="15" t="s">
        <v>320</v>
      </c>
      <c r="F183" s="12">
        <v>45</v>
      </c>
      <c r="G183" s="12" t="str">
        <f t="shared" si="170"/>
        <v>S</v>
      </c>
      <c r="H183" s="12">
        <v>42</v>
      </c>
      <c r="I183" s="12" t="str">
        <f t="shared" si="157"/>
        <v>S</v>
      </c>
      <c r="J183" s="12">
        <v>64</v>
      </c>
      <c r="K183" s="12" t="str">
        <f t="shared" si="158"/>
        <v>C</v>
      </c>
      <c r="L183" s="12">
        <v>58</v>
      </c>
      <c r="M183" s="12" t="str">
        <f t="shared" si="159"/>
        <v>C</v>
      </c>
      <c r="N183" s="12">
        <v>36</v>
      </c>
      <c r="O183" s="12" t="str">
        <f t="shared" si="160"/>
        <v>S</v>
      </c>
      <c r="P183" s="12">
        <v>56</v>
      </c>
      <c r="Q183" s="12" t="str">
        <f t="shared" si="161"/>
        <v>C</v>
      </c>
      <c r="R183" s="12">
        <f t="shared" si="171"/>
        <v>301</v>
      </c>
      <c r="S183" s="12" t="str">
        <f t="shared" si="163"/>
        <v>50%</v>
      </c>
      <c r="T183" s="12">
        <f t="shared" si="164"/>
        <v>0</v>
      </c>
      <c r="U183" s="12">
        <f t="shared" si="165"/>
        <v>3</v>
      </c>
      <c r="V183" s="12">
        <f t="shared" si="166"/>
        <v>2</v>
      </c>
      <c r="W183" s="12">
        <f t="shared" si="167"/>
        <v>0</v>
      </c>
      <c r="X183" s="12">
        <f t="shared" si="168"/>
        <v>0</v>
      </c>
      <c r="Y183" s="19"/>
      <c r="Z183" s="20" t="str">
        <f t="shared" si="172"/>
        <v>Ordinary Pass</v>
      </c>
      <c r="AA183" s="12"/>
      <c r="AB183" s="47"/>
    </row>
    <row r="184" spans="2:28" ht="27" customHeight="1">
      <c r="B184" s="9">
        <v>177</v>
      </c>
      <c r="C184" s="16" t="s">
        <v>321</v>
      </c>
      <c r="D184" s="18">
        <v>199932310998</v>
      </c>
      <c r="E184" s="15" t="s">
        <v>322</v>
      </c>
      <c r="F184" s="12" t="s">
        <v>14</v>
      </c>
      <c r="G184" s="12" t="str">
        <f t="shared" si="170"/>
        <v>AB</v>
      </c>
      <c r="H184" s="12" t="s">
        <v>14</v>
      </c>
      <c r="I184" s="12" t="str">
        <f t="shared" si="157"/>
        <v>AB</v>
      </c>
      <c r="J184" s="12" t="s">
        <v>14</v>
      </c>
      <c r="K184" s="12" t="str">
        <f t="shared" si="158"/>
        <v>AB</v>
      </c>
      <c r="L184" s="12" t="s">
        <v>14</v>
      </c>
      <c r="M184" s="12" t="str">
        <f t="shared" si="159"/>
        <v>AB</v>
      </c>
      <c r="N184" s="12" t="s">
        <v>14</v>
      </c>
      <c r="O184" s="12" t="str">
        <f t="shared" si="160"/>
        <v>AB</v>
      </c>
      <c r="P184" s="12" t="s">
        <v>14</v>
      </c>
      <c r="Q184" s="12" t="str">
        <f t="shared" si="161"/>
        <v>AB</v>
      </c>
      <c r="R184" s="12">
        <v>0</v>
      </c>
      <c r="S184" s="12" t="str">
        <f t="shared" si="163"/>
        <v>0%</v>
      </c>
      <c r="T184" s="12">
        <f t="shared" si="164"/>
        <v>0</v>
      </c>
      <c r="U184" s="12">
        <f t="shared" si="165"/>
        <v>0</v>
      </c>
      <c r="V184" s="12">
        <f t="shared" si="166"/>
        <v>0</v>
      </c>
      <c r="W184" s="12">
        <f t="shared" si="167"/>
        <v>0</v>
      </c>
      <c r="X184" s="12">
        <f t="shared" si="168"/>
        <v>6</v>
      </c>
      <c r="Y184" s="19"/>
      <c r="Z184" s="20" t="s">
        <v>7</v>
      </c>
      <c r="AA184" s="12"/>
      <c r="AB184" s="47"/>
    </row>
    <row r="185" spans="2:28" ht="27" customHeight="1">
      <c r="B185" s="9">
        <v>178</v>
      </c>
      <c r="C185" s="16" t="s">
        <v>323</v>
      </c>
      <c r="D185" s="18" t="s">
        <v>324</v>
      </c>
      <c r="E185" s="15" t="s">
        <v>325</v>
      </c>
      <c r="F185" s="12" t="s">
        <v>14</v>
      </c>
      <c r="G185" s="12" t="str">
        <f t="shared" si="170"/>
        <v>AB</v>
      </c>
      <c r="H185" s="12" t="s">
        <v>14</v>
      </c>
      <c r="I185" s="12" t="str">
        <f t="shared" si="157"/>
        <v>AB</v>
      </c>
      <c r="J185" s="12" t="s">
        <v>14</v>
      </c>
      <c r="K185" s="12" t="str">
        <f t="shared" si="158"/>
        <v>AB</v>
      </c>
      <c r="L185" s="12" t="s">
        <v>14</v>
      </c>
      <c r="M185" s="12" t="str">
        <f t="shared" si="159"/>
        <v>AB</v>
      </c>
      <c r="N185" s="12" t="s">
        <v>14</v>
      </c>
      <c r="O185" s="12" t="str">
        <f t="shared" si="160"/>
        <v>AB</v>
      </c>
      <c r="P185" s="12" t="s">
        <v>14</v>
      </c>
      <c r="Q185" s="12" t="str">
        <f t="shared" si="161"/>
        <v>AB</v>
      </c>
      <c r="R185" s="12">
        <v>0</v>
      </c>
      <c r="S185" s="12" t="str">
        <f t="shared" si="163"/>
        <v>0%</v>
      </c>
      <c r="T185" s="12">
        <f t="shared" si="164"/>
        <v>0</v>
      </c>
      <c r="U185" s="12">
        <f t="shared" si="165"/>
        <v>0</v>
      </c>
      <c r="V185" s="12">
        <f t="shared" si="166"/>
        <v>0</v>
      </c>
      <c r="W185" s="12">
        <f t="shared" si="167"/>
        <v>0</v>
      </c>
      <c r="X185" s="12">
        <f t="shared" si="168"/>
        <v>6</v>
      </c>
      <c r="Y185" s="19"/>
      <c r="Z185" s="20" t="s">
        <v>7</v>
      </c>
      <c r="AA185" s="12"/>
      <c r="AB185" s="47"/>
    </row>
    <row r="186" spans="2:28" ht="27" customHeight="1">
      <c r="B186" s="9">
        <v>179</v>
      </c>
      <c r="C186" s="16" t="s">
        <v>326</v>
      </c>
      <c r="D186" s="18" t="s">
        <v>327</v>
      </c>
      <c r="E186" s="15" t="s">
        <v>328</v>
      </c>
      <c r="F186" s="12">
        <v>35</v>
      </c>
      <c r="G186" s="12" t="str">
        <f t="shared" si="170"/>
        <v>S</v>
      </c>
      <c r="H186" s="12">
        <v>39</v>
      </c>
      <c r="I186" s="12" t="str">
        <f t="shared" si="157"/>
        <v>S</v>
      </c>
      <c r="J186" s="12">
        <v>56</v>
      </c>
      <c r="K186" s="12" t="str">
        <f t="shared" si="158"/>
        <v>C</v>
      </c>
      <c r="L186" s="12">
        <v>47</v>
      </c>
      <c r="M186" s="12" t="str">
        <f t="shared" si="159"/>
        <v>S</v>
      </c>
      <c r="N186" s="12">
        <v>43</v>
      </c>
      <c r="O186" s="12" t="str">
        <f t="shared" si="160"/>
        <v>S</v>
      </c>
      <c r="P186" s="12">
        <v>50</v>
      </c>
      <c r="Q186" s="12" t="str">
        <f t="shared" si="161"/>
        <v>S</v>
      </c>
      <c r="R186" s="12">
        <f t="shared" ref="R186:R187" si="173">SUM(F186+H186+J186+L186+N186+P186)</f>
        <v>270</v>
      </c>
      <c r="S186" s="12" t="str">
        <f t="shared" si="163"/>
        <v>45%</v>
      </c>
      <c r="T186" s="12">
        <f t="shared" si="164"/>
        <v>0</v>
      </c>
      <c r="U186" s="12">
        <f t="shared" si="165"/>
        <v>1</v>
      </c>
      <c r="V186" s="12">
        <f t="shared" si="166"/>
        <v>4</v>
      </c>
      <c r="W186" s="12">
        <f t="shared" si="167"/>
        <v>0</v>
      </c>
      <c r="X186" s="12">
        <f t="shared" si="168"/>
        <v>0</v>
      </c>
      <c r="Y186" s="19"/>
      <c r="Z186" s="20" t="s">
        <v>9</v>
      </c>
      <c r="AA186" s="12"/>
      <c r="AB186" s="47"/>
    </row>
    <row r="187" spans="2:28" ht="27" customHeight="1">
      <c r="B187" s="9">
        <v>180</v>
      </c>
      <c r="C187" s="16" t="s">
        <v>329</v>
      </c>
      <c r="D187" s="18" t="s">
        <v>330</v>
      </c>
      <c r="E187" s="15" t="s">
        <v>331</v>
      </c>
      <c r="F187" s="12">
        <v>58</v>
      </c>
      <c r="G187" s="12" t="str">
        <f t="shared" si="170"/>
        <v>C</v>
      </c>
      <c r="H187" s="12">
        <v>64</v>
      </c>
      <c r="I187" s="12" t="str">
        <f t="shared" si="157"/>
        <v>C</v>
      </c>
      <c r="J187" s="12">
        <v>96</v>
      </c>
      <c r="K187" s="12" t="str">
        <f t="shared" si="158"/>
        <v>D</v>
      </c>
      <c r="L187" s="12">
        <v>67</v>
      </c>
      <c r="M187" s="12" t="str">
        <f t="shared" si="159"/>
        <v>C</v>
      </c>
      <c r="N187" s="12">
        <v>71</v>
      </c>
      <c r="O187" s="12" t="str">
        <f t="shared" si="160"/>
        <v>C</v>
      </c>
      <c r="P187" s="12">
        <v>67</v>
      </c>
      <c r="Q187" s="12" t="str">
        <f t="shared" si="161"/>
        <v>C</v>
      </c>
      <c r="R187" s="12">
        <f t="shared" si="173"/>
        <v>423</v>
      </c>
      <c r="S187" s="12" t="str">
        <f t="shared" si="163"/>
        <v>71%</v>
      </c>
      <c r="T187" s="12">
        <f t="shared" si="164"/>
        <v>1</v>
      </c>
      <c r="U187" s="12">
        <f t="shared" si="165"/>
        <v>5</v>
      </c>
      <c r="V187" s="12">
        <f t="shared" si="166"/>
        <v>0</v>
      </c>
      <c r="W187" s="12">
        <f t="shared" si="167"/>
        <v>0</v>
      </c>
      <c r="X187" s="12">
        <f t="shared" si="168"/>
        <v>0</v>
      </c>
      <c r="Y187" s="19"/>
      <c r="Z187" s="20" t="s">
        <v>10</v>
      </c>
      <c r="AA187" s="12"/>
      <c r="AB187" s="47"/>
    </row>
    <row r="188" spans="2:28" ht="27" customHeight="1">
      <c r="B188" s="9">
        <v>181</v>
      </c>
      <c r="C188" s="16" t="s">
        <v>332</v>
      </c>
      <c r="D188" s="18" t="s">
        <v>333</v>
      </c>
      <c r="E188" s="15" t="s">
        <v>334</v>
      </c>
      <c r="F188" s="12" t="s">
        <v>14</v>
      </c>
      <c r="G188" s="12" t="str">
        <f t="shared" ref="G188:G207" si="174">IF(F188="-", "AB", IF(F188&gt;=75, "D", IF(F188&gt;=55, "C", IF(F188&gt;=35, "S", IF(F188&gt;=0, "F")))))</f>
        <v>AB</v>
      </c>
      <c r="H188" s="12" t="s">
        <v>14</v>
      </c>
      <c r="I188" s="12" t="str">
        <f t="shared" ref="I188:I207" si="175">IF(H188="-", "AB", IF(H188&gt;=75, "D", IF(H188&gt;=55, "C", IF(H188&gt;=35, "S", IF(H188&gt;=0, "F")))))</f>
        <v>AB</v>
      </c>
      <c r="J188" s="12" t="s">
        <v>14</v>
      </c>
      <c r="K188" s="12" t="str">
        <f t="shared" ref="K188:K207" si="176">IF(J188="-", "AB", IF(J188&gt;=75, "D", IF(J188&gt;=55, "C", IF(J188&gt;=35, "S", IF(J188&gt;=0, "F")))))</f>
        <v>AB</v>
      </c>
      <c r="L188" s="12" t="s">
        <v>14</v>
      </c>
      <c r="M188" s="12" t="str">
        <f t="shared" ref="M188:M207" si="177">IF(L188="-", "AB", IF(L188&gt;=75, "D", IF(L188&gt;=55, "C", IF(L188&gt;=35, "S", IF(L188&gt;=0, "F")))))</f>
        <v>AB</v>
      </c>
      <c r="N188" s="12" t="s">
        <v>14</v>
      </c>
      <c r="O188" s="12" t="str">
        <f t="shared" ref="O188:O207" si="178">IF(N188="-", "AB", IF(N188&gt;=75, "D", IF(N188&gt;=55, "C", IF(N188&gt;=35, "S", IF(N188&gt;=0, "F")))))</f>
        <v>AB</v>
      </c>
      <c r="P188" s="12" t="s">
        <v>14</v>
      </c>
      <c r="Q188" s="12" t="str">
        <f t="shared" ref="Q188:Q207" si="179">IF(P188="-", "AB", IF(P188&gt;=75, "D", IF(P188&gt;=55, "C", IF(P188&gt;=35, "S", IF(P188&gt;=0, "F")))))</f>
        <v>AB</v>
      </c>
      <c r="R188" s="12">
        <v>0</v>
      </c>
      <c r="S188" s="12" t="str">
        <f t="shared" ref="S188:S207" si="180">ROUND(R188/6, 0)&amp;"%"</f>
        <v>0%</v>
      </c>
      <c r="T188" s="12">
        <f t="shared" ref="T188:T207" si="181">COUNTIF(F188:Q188, "D")</f>
        <v>0</v>
      </c>
      <c r="U188" s="12">
        <f t="shared" ref="U188:U207" si="182">COUNTIF(G188:T188, "C")</f>
        <v>0</v>
      </c>
      <c r="V188" s="12">
        <f t="shared" ref="V188:V207" si="183">COUNTIF(H188:U188, "S")</f>
        <v>0</v>
      </c>
      <c r="W188" s="12">
        <f t="shared" ref="W188:W207" si="184">COUNTIF(I188:V188, "F")</f>
        <v>0</v>
      </c>
      <c r="X188" s="12">
        <f t="shared" ref="X188:X207" si="185">COUNTIF(F188:W188, "-")</f>
        <v>6</v>
      </c>
      <c r="Y188" s="19"/>
      <c r="Z188" s="20" t="s">
        <v>7</v>
      </c>
      <c r="AA188" s="12"/>
      <c r="AB188" s="47"/>
    </row>
    <row r="189" spans="2:28" ht="27" customHeight="1">
      <c r="B189" s="9">
        <v>182</v>
      </c>
      <c r="C189" s="16" t="s">
        <v>335</v>
      </c>
      <c r="D189" s="18" t="s">
        <v>336</v>
      </c>
      <c r="E189" s="15" t="s">
        <v>337</v>
      </c>
      <c r="F189" s="12" t="s">
        <v>14</v>
      </c>
      <c r="G189" s="12" t="str">
        <f t="shared" si="174"/>
        <v>AB</v>
      </c>
      <c r="H189" s="12" t="s">
        <v>14</v>
      </c>
      <c r="I189" s="12" t="str">
        <f t="shared" si="175"/>
        <v>AB</v>
      </c>
      <c r="J189" s="12" t="s">
        <v>14</v>
      </c>
      <c r="K189" s="12" t="str">
        <f t="shared" si="176"/>
        <v>AB</v>
      </c>
      <c r="L189" s="12" t="s">
        <v>14</v>
      </c>
      <c r="M189" s="12" t="str">
        <f t="shared" si="177"/>
        <v>AB</v>
      </c>
      <c r="N189" s="12" t="s">
        <v>14</v>
      </c>
      <c r="O189" s="12" t="str">
        <f t="shared" si="178"/>
        <v>AB</v>
      </c>
      <c r="P189" s="12" t="s">
        <v>14</v>
      </c>
      <c r="Q189" s="12" t="str">
        <f t="shared" si="179"/>
        <v>AB</v>
      </c>
      <c r="R189" s="12">
        <v>0</v>
      </c>
      <c r="S189" s="12" t="str">
        <f t="shared" si="180"/>
        <v>0%</v>
      </c>
      <c r="T189" s="12">
        <f t="shared" si="181"/>
        <v>0</v>
      </c>
      <c r="U189" s="12">
        <f t="shared" si="182"/>
        <v>0</v>
      </c>
      <c r="V189" s="12">
        <f t="shared" si="183"/>
        <v>0</v>
      </c>
      <c r="W189" s="12">
        <f t="shared" si="184"/>
        <v>0</v>
      </c>
      <c r="X189" s="12">
        <f t="shared" si="185"/>
        <v>6</v>
      </c>
      <c r="Y189" s="19"/>
      <c r="Z189" s="20" t="s">
        <v>7</v>
      </c>
      <c r="AA189" s="12"/>
      <c r="AB189" s="47"/>
    </row>
    <row r="190" spans="2:28" ht="27" customHeight="1">
      <c r="B190" s="9">
        <v>183</v>
      </c>
      <c r="C190" s="16" t="s">
        <v>338</v>
      </c>
      <c r="D190" s="18" t="s">
        <v>339</v>
      </c>
      <c r="E190" s="15" t="s">
        <v>340</v>
      </c>
      <c r="F190" s="12" t="s">
        <v>14</v>
      </c>
      <c r="G190" s="12" t="str">
        <f t="shared" si="174"/>
        <v>AB</v>
      </c>
      <c r="H190" s="12" t="s">
        <v>14</v>
      </c>
      <c r="I190" s="12" t="str">
        <f t="shared" si="175"/>
        <v>AB</v>
      </c>
      <c r="J190" s="12" t="s">
        <v>14</v>
      </c>
      <c r="K190" s="12" t="str">
        <f t="shared" si="176"/>
        <v>AB</v>
      </c>
      <c r="L190" s="12" t="s">
        <v>14</v>
      </c>
      <c r="M190" s="12" t="str">
        <f t="shared" si="177"/>
        <v>AB</v>
      </c>
      <c r="N190" s="12" t="s">
        <v>14</v>
      </c>
      <c r="O190" s="12" t="str">
        <f t="shared" si="178"/>
        <v>AB</v>
      </c>
      <c r="P190" s="12" t="s">
        <v>14</v>
      </c>
      <c r="Q190" s="12" t="str">
        <f t="shared" si="179"/>
        <v>AB</v>
      </c>
      <c r="R190" s="12">
        <v>0</v>
      </c>
      <c r="S190" s="12" t="str">
        <f t="shared" si="180"/>
        <v>0%</v>
      </c>
      <c r="T190" s="12">
        <f t="shared" si="181"/>
        <v>0</v>
      </c>
      <c r="U190" s="12">
        <f t="shared" si="182"/>
        <v>0</v>
      </c>
      <c r="V190" s="12">
        <f t="shared" si="183"/>
        <v>0</v>
      </c>
      <c r="W190" s="12">
        <f t="shared" si="184"/>
        <v>0</v>
      </c>
      <c r="X190" s="12">
        <f t="shared" si="185"/>
        <v>6</v>
      </c>
      <c r="Y190" s="19"/>
      <c r="Z190" s="20" t="s">
        <v>7</v>
      </c>
      <c r="AA190" s="12"/>
      <c r="AB190" s="47"/>
    </row>
    <row r="191" spans="2:28" ht="27" customHeight="1">
      <c r="B191" s="9">
        <v>184</v>
      </c>
      <c r="C191" s="16" t="s">
        <v>341</v>
      </c>
      <c r="D191" s="18" t="s">
        <v>342</v>
      </c>
      <c r="E191" s="15" t="s">
        <v>343</v>
      </c>
      <c r="F191" s="12">
        <v>74</v>
      </c>
      <c r="G191" s="12" t="str">
        <f t="shared" si="174"/>
        <v>C</v>
      </c>
      <c r="H191" s="12">
        <v>68</v>
      </c>
      <c r="I191" s="12" t="str">
        <f t="shared" si="175"/>
        <v>C</v>
      </c>
      <c r="J191" s="12">
        <v>81</v>
      </c>
      <c r="K191" s="12" t="str">
        <f t="shared" si="176"/>
        <v>D</v>
      </c>
      <c r="L191" s="12">
        <v>64</v>
      </c>
      <c r="M191" s="12" t="str">
        <f t="shared" si="177"/>
        <v>C</v>
      </c>
      <c r="N191" s="12">
        <v>60</v>
      </c>
      <c r="O191" s="12" t="str">
        <f t="shared" si="178"/>
        <v>C</v>
      </c>
      <c r="P191" s="12">
        <v>65</v>
      </c>
      <c r="Q191" s="12" t="str">
        <f t="shared" si="179"/>
        <v>C</v>
      </c>
      <c r="R191" s="12">
        <f t="shared" ref="R191:R204" si="186">SUM(F191+H191+J191+L191+N191+P191)</f>
        <v>412</v>
      </c>
      <c r="S191" s="12" t="str">
        <f t="shared" si="180"/>
        <v>69%</v>
      </c>
      <c r="T191" s="12">
        <f t="shared" si="181"/>
        <v>1</v>
      </c>
      <c r="U191" s="12">
        <f t="shared" si="182"/>
        <v>5</v>
      </c>
      <c r="V191" s="12">
        <f t="shared" si="183"/>
        <v>0</v>
      </c>
      <c r="W191" s="12">
        <f t="shared" si="184"/>
        <v>0</v>
      </c>
      <c r="X191" s="12">
        <f t="shared" si="185"/>
        <v>0</v>
      </c>
      <c r="Y191" s="19"/>
      <c r="Z191" s="20" t="s">
        <v>10</v>
      </c>
      <c r="AA191" s="12"/>
      <c r="AB191" s="47"/>
    </row>
    <row r="192" spans="2:28" ht="27" customHeight="1">
      <c r="B192" s="9">
        <v>185</v>
      </c>
      <c r="C192" s="16" t="s">
        <v>344</v>
      </c>
      <c r="D192" s="18" t="s">
        <v>345</v>
      </c>
      <c r="E192" s="15" t="s">
        <v>346</v>
      </c>
      <c r="F192" s="12">
        <v>55</v>
      </c>
      <c r="G192" s="12" t="str">
        <f t="shared" si="174"/>
        <v>C</v>
      </c>
      <c r="H192" s="12">
        <v>59</v>
      </c>
      <c r="I192" s="12" t="str">
        <f t="shared" si="175"/>
        <v>C</v>
      </c>
      <c r="J192" s="12">
        <v>83</v>
      </c>
      <c r="K192" s="12" t="str">
        <f t="shared" si="176"/>
        <v>D</v>
      </c>
      <c r="L192" s="12">
        <v>61</v>
      </c>
      <c r="M192" s="12" t="str">
        <f t="shared" si="177"/>
        <v>C</v>
      </c>
      <c r="N192" s="12">
        <v>68</v>
      </c>
      <c r="O192" s="12" t="str">
        <f t="shared" si="178"/>
        <v>C</v>
      </c>
      <c r="P192" s="12">
        <v>58</v>
      </c>
      <c r="Q192" s="12" t="str">
        <f t="shared" si="179"/>
        <v>C</v>
      </c>
      <c r="R192" s="12">
        <f t="shared" si="186"/>
        <v>384</v>
      </c>
      <c r="S192" s="12" t="str">
        <f t="shared" si="180"/>
        <v>64%</v>
      </c>
      <c r="T192" s="12">
        <f t="shared" si="181"/>
        <v>1</v>
      </c>
      <c r="U192" s="12">
        <f t="shared" si="182"/>
        <v>5</v>
      </c>
      <c r="V192" s="12">
        <f t="shared" si="183"/>
        <v>0</v>
      </c>
      <c r="W192" s="12">
        <f t="shared" si="184"/>
        <v>0</v>
      </c>
      <c r="X192" s="12">
        <f t="shared" si="185"/>
        <v>0</v>
      </c>
      <c r="Y192" s="19"/>
      <c r="Z192" s="37" t="s">
        <v>784</v>
      </c>
      <c r="AA192" s="12"/>
      <c r="AB192" s="47"/>
    </row>
    <row r="193" spans="2:28" ht="27" customHeight="1">
      <c r="B193" s="9">
        <v>186</v>
      </c>
      <c r="C193" s="16" t="s">
        <v>347</v>
      </c>
      <c r="D193" s="18">
        <v>198072403403</v>
      </c>
      <c r="E193" s="15" t="s">
        <v>348</v>
      </c>
      <c r="F193" s="12">
        <v>75</v>
      </c>
      <c r="G193" s="12" t="str">
        <f t="shared" si="174"/>
        <v>D</v>
      </c>
      <c r="H193" s="12">
        <v>76</v>
      </c>
      <c r="I193" s="12" t="str">
        <f t="shared" si="175"/>
        <v>D</v>
      </c>
      <c r="J193" s="12">
        <v>66</v>
      </c>
      <c r="K193" s="12" t="str">
        <f t="shared" si="176"/>
        <v>C</v>
      </c>
      <c r="L193" s="12">
        <v>71</v>
      </c>
      <c r="M193" s="12" t="str">
        <f t="shared" si="177"/>
        <v>C</v>
      </c>
      <c r="N193" s="12">
        <v>79</v>
      </c>
      <c r="O193" s="12" t="str">
        <f t="shared" si="178"/>
        <v>D</v>
      </c>
      <c r="P193" s="12">
        <v>66</v>
      </c>
      <c r="Q193" s="12" t="str">
        <f t="shared" si="179"/>
        <v>C</v>
      </c>
      <c r="R193" s="12">
        <f t="shared" si="186"/>
        <v>433</v>
      </c>
      <c r="S193" s="12" t="str">
        <f t="shared" si="180"/>
        <v>72%</v>
      </c>
      <c r="T193" s="12">
        <f t="shared" si="181"/>
        <v>3</v>
      </c>
      <c r="U193" s="12">
        <f t="shared" si="182"/>
        <v>3</v>
      </c>
      <c r="V193" s="12">
        <f t="shared" si="183"/>
        <v>0</v>
      </c>
      <c r="W193" s="12">
        <f t="shared" si="184"/>
        <v>0</v>
      </c>
      <c r="X193" s="12">
        <f t="shared" si="185"/>
        <v>0</v>
      </c>
      <c r="Y193" s="19"/>
      <c r="Z193" s="20" t="s">
        <v>10</v>
      </c>
      <c r="AA193" s="12"/>
      <c r="AB193" s="47"/>
    </row>
    <row r="194" spans="2:28" ht="27" customHeight="1">
      <c r="B194" s="9">
        <v>187</v>
      </c>
      <c r="C194" s="16" t="s">
        <v>349</v>
      </c>
      <c r="D194" s="18" t="s">
        <v>350</v>
      </c>
      <c r="E194" s="15" t="s">
        <v>351</v>
      </c>
      <c r="F194" s="12">
        <v>43</v>
      </c>
      <c r="G194" s="12" t="str">
        <f t="shared" si="174"/>
        <v>S</v>
      </c>
      <c r="H194" s="12">
        <v>55</v>
      </c>
      <c r="I194" s="12" t="str">
        <f t="shared" si="175"/>
        <v>C</v>
      </c>
      <c r="J194" s="12">
        <v>61</v>
      </c>
      <c r="K194" s="12" t="str">
        <f t="shared" si="176"/>
        <v>C</v>
      </c>
      <c r="L194" s="12">
        <v>49</v>
      </c>
      <c r="M194" s="12" t="str">
        <f t="shared" si="177"/>
        <v>S</v>
      </c>
      <c r="N194" s="12">
        <v>49</v>
      </c>
      <c r="O194" s="12" t="str">
        <f t="shared" si="178"/>
        <v>S</v>
      </c>
      <c r="P194" s="12">
        <v>72</v>
      </c>
      <c r="Q194" s="12" t="str">
        <f t="shared" si="179"/>
        <v>C</v>
      </c>
      <c r="R194" s="12">
        <f t="shared" si="186"/>
        <v>329</v>
      </c>
      <c r="S194" s="12" t="str">
        <f t="shared" si="180"/>
        <v>55%</v>
      </c>
      <c r="T194" s="12">
        <f t="shared" si="181"/>
        <v>0</v>
      </c>
      <c r="U194" s="12">
        <f t="shared" si="182"/>
        <v>3</v>
      </c>
      <c r="V194" s="12">
        <f t="shared" si="183"/>
        <v>2</v>
      </c>
      <c r="W194" s="12">
        <f t="shared" si="184"/>
        <v>0</v>
      </c>
      <c r="X194" s="12">
        <f t="shared" si="185"/>
        <v>0</v>
      </c>
      <c r="Y194" s="19"/>
      <c r="Z194" s="20" t="str">
        <f t="shared" ref="Z194:Z204" si="187">IF(X194&gt;0, "Not Completed",
   IF(T194=10, "First Class",
      IF(S194&gt;75, IF(V194&gt;0, "Ordinary Pass", "First Class"),
         IF(S194&gt;65, IF(V194&gt;0, "Ordinary Pass", "Second Class"), "none")
      )
   )
)</f>
        <v>Ordinary Pass</v>
      </c>
      <c r="AA194" s="12"/>
      <c r="AB194" s="47"/>
    </row>
    <row r="195" spans="2:28" ht="27" customHeight="1">
      <c r="B195" s="9">
        <v>188</v>
      </c>
      <c r="C195" s="16" t="s">
        <v>352</v>
      </c>
      <c r="D195" s="18" t="s">
        <v>353</v>
      </c>
      <c r="E195" s="15" t="s">
        <v>354</v>
      </c>
      <c r="F195" s="12">
        <v>43</v>
      </c>
      <c r="G195" s="12" t="str">
        <f t="shared" si="174"/>
        <v>S</v>
      </c>
      <c r="H195" s="12">
        <v>54</v>
      </c>
      <c r="I195" s="12" t="str">
        <f t="shared" si="175"/>
        <v>S</v>
      </c>
      <c r="J195" s="12">
        <v>51</v>
      </c>
      <c r="K195" s="12" t="str">
        <f t="shared" si="176"/>
        <v>S</v>
      </c>
      <c r="L195" s="12">
        <v>45</v>
      </c>
      <c r="M195" s="12" t="str">
        <f t="shared" si="177"/>
        <v>S</v>
      </c>
      <c r="N195" s="12">
        <v>64</v>
      </c>
      <c r="O195" s="12" t="str">
        <f t="shared" si="178"/>
        <v>C</v>
      </c>
      <c r="P195" s="12">
        <v>68</v>
      </c>
      <c r="Q195" s="12" t="str">
        <f t="shared" si="179"/>
        <v>C</v>
      </c>
      <c r="R195" s="12">
        <f t="shared" si="186"/>
        <v>325</v>
      </c>
      <c r="S195" s="12" t="str">
        <f t="shared" si="180"/>
        <v>54%</v>
      </c>
      <c r="T195" s="12">
        <f t="shared" si="181"/>
        <v>0</v>
      </c>
      <c r="U195" s="12">
        <f t="shared" si="182"/>
        <v>2</v>
      </c>
      <c r="V195" s="12">
        <f t="shared" si="183"/>
        <v>3</v>
      </c>
      <c r="W195" s="12">
        <f t="shared" si="184"/>
        <v>0</v>
      </c>
      <c r="X195" s="12">
        <f t="shared" si="185"/>
        <v>0</v>
      </c>
      <c r="Y195" s="19"/>
      <c r="Z195" s="20" t="str">
        <f t="shared" si="187"/>
        <v>Ordinary Pass</v>
      </c>
      <c r="AA195" s="12"/>
      <c r="AB195" s="47"/>
    </row>
    <row r="196" spans="2:28" ht="27" customHeight="1">
      <c r="B196" s="9">
        <v>189</v>
      </c>
      <c r="C196" s="16" t="s">
        <v>355</v>
      </c>
      <c r="D196" s="18" t="s">
        <v>356</v>
      </c>
      <c r="E196" s="15" t="s">
        <v>357</v>
      </c>
      <c r="F196" s="12" t="s">
        <v>14</v>
      </c>
      <c r="G196" s="12" t="str">
        <f t="shared" si="174"/>
        <v>AB</v>
      </c>
      <c r="H196" s="12" t="s">
        <v>14</v>
      </c>
      <c r="I196" s="12" t="str">
        <f t="shared" si="175"/>
        <v>AB</v>
      </c>
      <c r="J196" s="12" t="s">
        <v>14</v>
      </c>
      <c r="K196" s="12" t="str">
        <f t="shared" si="176"/>
        <v>AB</v>
      </c>
      <c r="L196" s="12" t="s">
        <v>14</v>
      </c>
      <c r="M196" s="12" t="str">
        <f t="shared" si="177"/>
        <v>AB</v>
      </c>
      <c r="N196" s="12" t="s">
        <v>14</v>
      </c>
      <c r="O196" s="12" t="str">
        <f t="shared" si="178"/>
        <v>AB</v>
      </c>
      <c r="P196" s="12" t="s">
        <v>14</v>
      </c>
      <c r="Q196" s="12" t="str">
        <f t="shared" si="179"/>
        <v>AB</v>
      </c>
      <c r="R196" s="12">
        <v>0</v>
      </c>
      <c r="S196" s="12" t="str">
        <f t="shared" si="180"/>
        <v>0%</v>
      </c>
      <c r="T196" s="12">
        <f t="shared" si="181"/>
        <v>0</v>
      </c>
      <c r="U196" s="12">
        <f t="shared" si="182"/>
        <v>0</v>
      </c>
      <c r="V196" s="12">
        <f t="shared" si="183"/>
        <v>0</v>
      </c>
      <c r="W196" s="12">
        <f t="shared" si="184"/>
        <v>0</v>
      </c>
      <c r="X196" s="12">
        <f t="shared" si="185"/>
        <v>6</v>
      </c>
      <c r="Y196" s="19"/>
      <c r="Z196" s="20" t="s">
        <v>7</v>
      </c>
      <c r="AA196" s="12"/>
      <c r="AB196" s="47"/>
    </row>
    <row r="197" spans="2:28" ht="27" customHeight="1">
      <c r="B197" s="9">
        <v>190</v>
      </c>
      <c r="C197" s="16" t="s">
        <v>358</v>
      </c>
      <c r="D197" s="18" t="s">
        <v>359</v>
      </c>
      <c r="E197" s="15" t="s">
        <v>360</v>
      </c>
      <c r="F197" s="12" t="s">
        <v>14</v>
      </c>
      <c r="G197" s="12" t="str">
        <f t="shared" si="174"/>
        <v>AB</v>
      </c>
      <c r="H197" s="12" t="s">
        <v>14</v>
      </c>
      <c r="I197" s="12" t="str">
        <f t="shared" si="175"/>
        <v>AB</v>
      </c>
      <c r="J197" s="12" t="s">
        <v>14</v>
      </c>
      <c r="K197" s="12" t="str">
        <f t="shared" si="176"/>
        <v>AB</v>
      </c>
      <c r="L197" s="12" t="s">
        <v>14</v>
      </c>
      <c r="M197" s="12" t="str">
        <f t="shared" si="177"/>
        <v>AB</v>
      </c>
      <c r="N197" s="12" t="s">
        <v>14</v>
      </c>
      <c r="O197" s="12" t="str">
        <f t="shared" si="178"/>
        <v>AB</v>
      </c>
      <c r="P197" s="12" t="s">
        <v>14</v>
      </c>
      <c r="Q197" s="12" t="str">
        <f t="shared" si="179"/>
        <v>AB</v>
      </c>
      <c r="R197" s="12">
        <v>0</v>
      </c>
      <c r="S197" s="12" t="str">
        <f t="shared" si="180"/>
        <v>0%</v>
      </c>
      <c r="T197" s="12">
        <f t="shared" si="181"/>
        <v>0</v>
      </c>
      <c r="U197" s="12">
        <f t="shared" si="182"/>
        <v>0</v>
      </c>
      <c r="V197" s="12">
        <f t="shared" si="183"/>
        <v>0</v>
      </c>
      <c r="W197" s="12">
        <f t="shared" si="184"/>
        <v>0</v>
      </c>
      <c r="X197" s="12">
        <f t="shared" si="185"/>
        <v>6</v>
      </c>
      <c r="Y197" s="19"/>
      <c r="Z197" s="20" t="s">
        <v>7</v>
      </c>
      <c r="AA197" s="12"/>
      <c r="AB197" s="47"/>
    </row>
    <row r="198" spans="2:28" ht="27" customHeight="1">
      <c r="B198" s="9">
        <v>191</v>
      </c>
      <c r="C198" s="16" t="s">
        <v>361</v>
      </c>
      <c r="D198" s="18" t="s">
        <v>362</v>
      </c>
      <c r="E198" s="15" t="s">
        <v>363</v>
      </c>
      <c r="F198" s="12">
        <v>35</v>
      </c>
      <c r="G198" s="12" t="str">
        <f t="shared" si="174"/>
        <v>S</v>
      </c>
      <c r="H198" s="12">
        <v>38</v>
      </c>
      <c r="I198" s="12" t="str">
        <f t="shared" si="175"/>
        <v>S</v>
      </c>
      <c r="J198" s="12">
        <v>58</v>
      </c>
      <c r="K198" s="12" t="str">
        <f t="shared" si="176"/>
        <v>C</v>
      </c>
      <c r="L198" s="12">
        <v>64</v>
      </c>
      <c r="M198" s="12" t="str">
        <f t="shared" si="177"/>
        <v>C</v>
      </c>
      <c r="N198" s="12">
        <v>40</v>
      </c>
      <c r="O198" s="12" t="str">
        <f t="shared" si="178"/>
        <v>S</v>
      </c>
      <c r="P198" s="12">
        <v>54</v>
      </c>
      <c r="Q198" s="12" t="str">
        <f t="shared" si="179"/>
        <v>S</v>
      </c>
      <c r="R198" s="12">
        <f t="shared" si="186"/>
        <v>289</v>
      </c>
      <c r="S198" s="12" t="str">
        <f t="shared" si="180"/>
        <v>48%</v>
      </c>
      <c r="T198" s="12">
        <f t="shared" si="181"/>
        <v>0</v>
      </c>
      <c r="U198" s="12">
        <f t="shared" si="182"/>
        <v>2</v>
      </c>
      <c r="V198" s="12">
        <f t="shared" si="183"/>
        <v>3</v>
      </c>
      <c r="W198" s="12">
        <f t="shared" si="184"/>
        <v>0</v>
      </c>
      <c r="X198" s="12">
        <f t="shared" si="185"/>
        <v>0</v>
      </c>
      <c r="Y198" s="19"/>
      <c r="Z198" s="20" t="str">
        <f t="shared" si="187"/>
        <v>Ordinary Pass</v>
      </c>
      <c r="AA198" s="12"/>
      <c r="AB198" s="47"/>
    </row>
    <row r="199" spans="2:28" ht="27" customHeight="1">
      <c r="B199" s="9">
        <v>192</v>
      </c>
      <c r="C199" s="16" t="s">
        <v>364</v>
      </c>
      <c r="D199" s="18">
        <v>198383202875</v>
      </c>
      <c r="E199" s="15" t="s">
        <v>365</v>
      </c>
      <c r="F199" s="12">
        <v>67</v>
      </c>
      <c r="G199" s="12" t="str">
        <f t="shared" si="174"/>
        <v>C</v>
      </c>
      <c r="H199" s="12">
        <v>55</v>
      </c>
      <c r="I199" s="12" t="str">
        <f t="shared" si="175"/>
        <v>C</v>
      </c>
      <c r="J199" s="12">
        <v>75</v>
      </c>
      <c r="K199" s="12" t="str">
        <f t="shared" si="176"/>
        <v>D</v>
      </c>
      <c r="L199" s="12">
        <v>61</v>
      </c>
      <c r="M199" s="12" t="str">
        <f t="shared" si="177"/>
        <v>C</v>
      </c>
      <c r="N199" s="12">
        <v>55</v>
      </c>
      <c r="O199" s="12" t="str">
        <f t="shared" si="178"/>
        <v>C</v>
      </c>
      <c r="P199" s="12">
        <v>61</v>
      </c>
      <c r="Q199" s="12" t="str">
        <f t="shared" si="179"/>
        <v>C</v>
      </c>
      <c r="R199" s="12">
        <f t="shared" si="186"/>
        <v>374</v>
      </c>
      <c r="S199" s="12" t="str">
        <f t="shared" si="180"/>
        <v>62%</v>
      </c>
      <c r="T199" s="12">
        <f t="shared" si="181"/>
        <v>1</v>
      </c>
      <c r="U199" s="12">
        <f t="shared" si="182"/>
        <v>5</v>
      </c>
      <c r="V199" s="12">
        <f t="shared" si="183"/>
        <v>0</v>
      </c>
      <c r="W199" s="12">
        <f t="shared" si="184"/>
        <v>0</v>
      </c>
      <c r="X199" s="12">
        <f t="shared" si="185"/>
        <v>0</v>
      </c>
      <c r="Y199" s="19"/>
      <c r="Z199" s="37" t="s">
        <v>784</v>
      </c>
      <c r="AA199" s="12"/>
      <c r="AB199" s="47"/>
    </row>
    <row r="200" spans="2:28" ht="27" customHeight="1">
      <c r="B200" s="9">
        <v>193</v>
      </c>
      <c r="C200" s="16" t="s">
        <v>366</v>
      </c>
      <c r="D200" s="18" t="s">
        <v>367</v>
      </c>
      <c r="E200" s="15" t="s">
        <v>368</v>
      </c>
      <c r="F200" s="12" t="s">
        <v>14</v>
      </c>
      <c r="G200" s="12" t="str">
        <f t="shared" si="174"/>
        <v>AB</v>
      </c>
      <c r="H200" s="12" t="s">
        <v>14</v>
      </c>
      <c r="I200" s="12" t="str">
        <f t="shared" si="175"/>
        <v>AB</v>
      </c>
      <c r="J200" s="12" t="s">
        <v>14</v>
      </c>
      <c r="K200" s="12" t="str">
        <f t="shared" si="176"/>
        <v>AB</v>
      </c>
      <c r="L200" s="12" t="s">
        <v>14</v>
      </c>
      <c r="M200" s="12" t="str">
        <f t="shared" si="177"/>
        <v>AB</v>
      </c>
      <c r="N200" s="12" t="s">
        <v>14</v>
      </c>
      <c r="O200" s="12" t="str">
        <f t="shared" si="178"/>
        <v>AB</v>
      </c>
      <c r="P200" s="12" t="s">
        <v>14</v>
      </c>
      <c r="Q200" s="12" t="str">
        <f t="shared" si="179"/>
        <v>AB</v>
      </c>
      <c r="R200" s="12">
        <v>0</v>
      </c>
      <c r="S200" s="12" t="str">
        <f t="shared" si="180"/>
        <v>0%</v>
      </c>
      <c r="T200" s="12">
        <f t="shared" si="181"/>
        <v>0</v>
      </c>
      <c r="U200" s="12">
        <f t="shared" si="182"/>
        <v>0</v>
      </c>
      <c r="V200" s="12">
        <f t="shared" si="183"/>
        <v>0</v>
      </c>
      <c r="W200" s="12">
        <f t="shared" si="184"/>
        <v>0</v>
      </c>
      <c r="X200" s="12">
        <f t="shared" si="185"/>
        <v>6</v>
      </c>
      <c r="Y200" s="19"/>
      <c r="Z200" s="20" t="s">
        <v>7</v>
      </c>
      <c r="AA200" s="12"/>
      <c r="AB200" s="47"/>
    </row>
    <row r="201" spans="2:28" ht="27" customHeight="1">
      <c r="B201" s="9">
        <v>194</v>
      </c>
      <c r="C201" s="16" t="s">
        <v>369</v>
      </c>
      <c r="D201" s="18">
        <v>198268500132</v>
      </c>
      <c r="E201" s="15" t="s">
        <v>370</v>
      </c>
      <c r="F201" s="12">
        <v>46</v>
      </c>
      <c r="G201" s="12" t="str">
        <f t="shared" si="174"/>
        <v>S</v>
      </c>
      <c r="H201" s="12">
        <v>53</v>
      </c>
      <c r="I201" s="12" t="str">
        <f t="shared" si="175"/>
        <v>S</v>
      </c>
      <c r="J201" s="12">
        <v>56</v>
      </c>
      <c r="K201" s="12" t="str">
        <f t="shared" si="176"/>
        <v>C</v>
      </c>
      <c r="L201" s="12">
        <v>53</v>
      </c>
      <c r="M201" s="12" t="str">
        <f t="shared" si="177"/>
        <v>S</v>
      </c>
      <c r="N201" s="12">
        <v>54</v>
      </c>
      <c r="O201" s="12" t="str">
        <f t="shared" si="178"/>
        <v>S</v>
      </c>
      <c r="P201" s="12">
        <v>60</v>
      </c>
      <c r="Q201" s="12" t="str">
        <f t="shared" si="179"/>
        <v>C</v>
      </c>
      <c r="R201" s="12">
        <f t="shared" si="186"/>
        <v>322</v>
      </c>
      <c r="S201" s="12" t="str">
        <f t="shared" si="180"/>
        <v>54%</v>
      </c>
      <c r="T201" s="12">
        <f t="shared" si="181"/>
        <v>0</v>
      </c>
      <c r="U201" s="12">
        <f t="shared" si="182"/>
        <v>2</v>
      </c>
      <c r="V201" s="12">
        <f t="shared" si="183"/>
        <v>3</v>
      </c>
      <c r="W201" s="12">
        <f t="shared" si="184"/>
        <v>0</v>
      </c>
      <c r="X201" s="12">
        <f t="shared" si="185"/>
        <v>0</v>
      </c>
      <c r="Y201" s="19"/>
      <c r="Z201" s="20" t="str">
        <f t="shared" si="187"/>
        <v>Ordinary Pass</v>
      </c>
      <c r="AA201" s="12"/>
      <c r="AB201" s="47"/>
    </row>
    <row r="202" spans="2:28" ht="27" customHeight="1">
      <c r="B202" s="9">
        <v>195</v>
      </c>
      <c r="C202" s="16" t="s">
        <v>371</v>
      </c>
      <c r="D202" s="18" t="s">
        <v>372</v>
      </c>
      <c r="E202" s="15" t="s">
        <v>373</v>
      </c>
      <c r="F202" s="12" t="s">
        <v>14</v>
      </c>
      <c r="G202" s="12" t="str">
        <f t="shared" si="174"/>
        <v>AB</v>
      </c>
      <c r="H202" s="12" t="s">
        <v>14</v>
      </c>
      <c r="I202" s="12" t="str">
        <f t="shared" si="175"/>
        <v>AB</v>
      </c>
      <c r="J202" s="12" t="s">
        <v>14</v>
      </c>
      <c r="K202" s="12" t="str">
        <f t="shared" si="176"/>
        <v>AB</v>
      </c>
      <c r="L202" s="12" t="s">
        <v>14</v>
      </c>
      <c r="M202" s="12" t="str">
        <f t="shared" si="177"/>
        <v>AB</v>
      </c>
      <c r="N202" s="12" t="s">
        <v>14</v>
      </c>
      <c r="O202" s="12" t="str">
        <f t="shared" si="178"/>
        <v>AB</v>
      </c>
      <c r="P202" s="12" t="s">
        <v>14</v>
      </c>
      <c r="Q202" s="12" t="str">
        <f t="shared" si="179"/>
        <v>AB</v>
      </c>
      <c r="R202" s="12">
        <v>0</v>
      </c>
      <c r="S202" s="12" t="str">
        <f t="shared" si="180"/>
        <v>0%</v>
      </c>
      <c r="T202" s="12">
        <f t="shared" si="181"/>
        <v>0</v>
      </c>
      <c r="U202" s="12">
        <f t="shared" si="182"/>
        <v>0</v>
      </c>
      <c r="V202" s="12">
        <f t="shared" si="183"/>
        <v>0</v>
      </c>
      <c r="W202" s="12">
        <f t="shared" si="184"/>
        <v>0</v>
      </c>
      <c r="X202" s="12">
        <f t="shared" si="185"/>
        <v>6</v>
      </c>
      <c r="Y202" s="19"/>
      <c r="Z202" s="20" t="s">
        <v>7</v>
      </c>
      <c r="AA202" s="12"/>
      <c r="AB202" s="47"/>
    </row>
    <row r="203" spans="2:28" ht="27" customHeight="1">
      <c r="B203" s="9">
        <v>196</v>
      </c>
      <c r="C203" s="16" t="s">
        <v>374</v>
      </c>
      <c r="D203" s="18">
        <v>200274502758</v>
      </c>
      <c r="E203" s="15" t="s">
        <v>375</v>
      </c>
      <c r="F203" s="12">
        <v>60</v>
      </c>
      <c r="G203" s="12" t="str">
        <f t="shared" si="174"/>
        <v>C</v>
      </c>
      <c r="H203" s="12">
        <v>35</v>
      </c>
      <c r="I203" s="12" t="str">
        <f t="shared" si="175"/>
        <v>S</v>
      </c>
      <c r="J203" s="12">
        <v>52</v>
      </c>
      <c r="K203" s="12" t="str">
        <f t="shared" si="176"/>
        <v>S</v>
      </c>
      <c r="L203" s="12">
        <v>57</v>
      </c>
      <c r="M203" s="12" t="str">
        <f t="shared" si="177"/>
        <v>C</v>
      </c>
      <c r="N203" s="12">
        <v>41</v>
      </c>
      <c r="O203" s="12" t="str">
        <f t="shared" si="178"/>
        <v>S</v>
      </c>
      <c r="P203" s="12">
        <v>63</v>
      </c>
      <c r="Q203" s="12" t="str">
        <f t="shared" si="179"/>
        <v>C</v>
      </c>
      <c r="R203" s="12">
        <f t="shared" si="186"/>
        <v>308</v>
      </c>
      <c r="S203" s="12" t="str">
        <f t="shared" si="180"/>
        <v>51%</v>
      </c>
      <c r="T203" s="12">
        <f t="shared" si="181"/>
        <v>0</v>
      </c>
      <c r="U203" s="12">
        <f t="shared" si="182"/>
        <v>3</v>
      </c>
      <c r="V203" s="12">
        <f t="shared" si="183"/>
        <v>3</v>
      </c>
      <c r="W203" s="12">
        <f t="shared" si="184"/>
        <v>0</v>
      </c>
      <c r="X203" s="12">
        <f t="shared" si="185"/>
        <v>0</v>
      </c>
      <c r="Y203" s="19"/>
      <c r="Z203" s="20" t="s">
        <v>9</v>
      </c>
      <c r="AA203" s="12"/>
      <c r="AB203" s="47"/>
    </row>
    <row r="204" spans="2:28" ht="27" customHeight="1">
      <c r="B204" s="9">
        <v>197</v>
      </c>
      <c r="C204" s="16" t="s">
        <v>376</v>
      </c>
      <c r="D204" s="18">
        <v>198080403696</v>
      </c>
      <c r="E204" s="15" t="s">
        <v>377</v>
      </c>
      <c r="F204" s="12">
        <v>53</v>
      </c>
      <c r="G204" s="12" t="str">
        <f t="shared" si="174"/>
        <v>S</v>
      </c>
      <c r="H204" s="12">
        <v>61</v>
      </c>
      <c r="I204" s="12" t="str">
        <f t="shared" si="175"/>
        <v>C</v>
      </c>
      <c r="J204" s="12">
        <v>65</v>
      </c>
      <c r="K204" s="12" t="str">
        <f t="shared" si="176"/>
        <v>C</v>
      </c>
      <c r="L204" s="12">
        <v>60</v>
      </c>
      <c r="M204" s="12" t="str">
        <f t="shared" si="177"/>
        <v>C</v>
      </c>
      <c r="N204" s="12">
        <v>53</v>
      </c>
      <c r="O204" s="12" t="str">
        <f t="shared" si="178"/>
        <v>S</v>
      </c>
      <c r="P204" s="12">
        <v>60</v>
      </c>
      <c r="Q204" s="12" t="str">
        <f t="shared" si="179"/>
        <v>C</v>
      </c>
      <c r="R204" s="12">
        <f t="shared" si="186"/>
        <v>352</v>
      </c>
      <c r="S204" s="12" t="str">
        <f t="shared" si="180"/>
        <v>59%</v>
      </c>
      <c r="T204" s="12">
        <f t="shared" si="181"/>
        <v>0</v>
      </c>
      <c r="U204" s="12">
        <f t="shared" si="182"/>
        <v>4</v>
      </c>
      <c r="V204" s="12">
        <f t="shared" si="183"/>
        <v>1</v>
      </c>
      <c r="W204" s="12">
        <f t="shared" si="184"/>
        <v>0</v>
      </c>
      <c r="X204" s="12">
        <f t="shared" si="185"/>
        <v>0</v>
      </c>
      <c r="Y204" s="19"/>
      <c r="Z204" s="20" t="str">
        <f t="shared" si="187"/>
        <v>Ordinary Pass</v>
      </c>
      <c r="AA204" s="12"/>
      <c r="AB204" s="47"/>
    </row>
    <row r="205" spans="2:28" ht="27" customHeight="1">
      <c r="B205" s="9">
        <v>198</v>
      </c>
      <c r="C205" s="16" t="s">
        <v>378</v>
      </c>
      <c r="D205" s="18" t="s">
        <v>379</v>
      </c>
      <c r="E205" s="15" t="s">
        <v>380</v>
      </c>
      <c r="F205" s="12" t="s">
        <v>14</v>
      </c>
      <c r="G205" s="12" t="str">
        <f t="shared" si="174"/>
        <v>AB</v>
      </c>
      <c r="H205" s="12" t="s">
        <v>14</v>
      </c>
      <c r="I205" s="12" t="str">
        <f t="shared" si="175"/>
        <v>AB</v>
      </c>
      <c r="J205" s="12" t="s">
        <v>14</v>
      </c>
      <c r="K205" s="12" t="str">
        <f t="shared" si="176"/>
        <v>AB</v>
      </c>
      <c r="L205" s="12" t="s">
        <v>14</v>
      </c>
      <c r="M205" s="12" t="str">
        <f t="shared" si="177"/>
        <v>AB</v>
      </c>
      <c r="N205" s="12" t="s">
        <v>14</v>
      </c>
      <c r="O205" s="12" t="str">
        <f t="shared" si="178"/>
        <v>AB</v>
      </c>
      <c r="P205" s="12" t="s">
        <v>14</v>
      </c>
      <c r="Q205" s="12" t="str">
        <f t="shared" si="179"/>
        <v>AB</v>
      </c>
      <c r="R205" s="12">
        <v>0</v>
      </c>
      <c r="S205" s="12" t="str">
        <f t="shared" si="180"/>
        <v>0%</v>
      </c>
      <c r="T205" s="12">
        <f t="shared" si="181"/>
        <v>0</v>
      </c>
      <c r="U205" s="12">
        <f t="shared" si="182"/>
        <v>0</v>
      </c>
      <c r="V205" s="12">
        <f t="shared" si="183"/>
        <v>0</v>
      </c>
      <c r="W205" s="12">
        <f t="shared" si="184"/>
        <v>0</v>
      </c>
      <c r="X205" s="12">
        <f t="shared" si="185"/>
        <v>6</v>
      </c>
      <c r="Y205" s="19"/>
      <c r="Z205" s="20" t="s">
        <v>7</v>
      </c>
      <c r="AA205" s="12"/>
      <c r="AB205" s="47"/>
    </row>
    <row r="206" spans="2:28" ht="27" customHeight="1">
      <c r="B206" s="9">
        <v>199</v>
      </c>
      <c r="C206" s="16" t="s">
        <v>381</v>
      </c>
      <c r="D206" s="18" t="s">
        <v>382</v>
      </c>
      <c r="E206" s="15" t="s">
        <v>383</v>
      </c>
      <c r="F206" s="12">
        <v>53</v>
      </c>
      <c r="G206" s="12" t="str">
        <f t="shared" si="174"/>
        <v>S</v>
      </c>
      <c r="H206" s="12">
        <v>51</v>
      </c>
      <c r="I206" s="12" t="str">
        <f t="shared" si="175"/>
        <v>S</v>
      </c>
      <c r="J206" s="12">
        <v>75</v>
      </c>
      <c r="K206" s="12" t="str">
        <f t="shared" si="176"/>
        <v>D</v>
      </c>
      <c r="L206" s="12">
        <v>67</v>
      </c>
      <c r="M206" s="12" t="str">
        <f t="shared" si="177"/>
        <v>C</v>
      </c>
      <c r="N206" s="12">
        <v>54</v>
      </c>
      <c r="O206" s="12" t="str">
        <f t="shared" si="178"/>
        <v>S</v>
      </c>
      <c r="P206" s="12">
        <v>54</v>
      </c>
      <c r="Q206" s="12" t="str">
        <f t="shared" si="179"/>
        <v>S</v>
      </c>
      <c r="R206" s="12">
        <f t="shared" ref="R206:R207" si="188">SUM(F206+H206+J206+L206+N206+P206)</f>
        <v>354</v>
      </c>
      <c r="S206" s="12" t="str">
        <f t="shared" si="180"/>
        <v>59%</v>
      </c>
      <c r="T206" s="12">
        <f t="shared" si="181"/>
        <v>1</v>
      </c>
      <c r="U206" s="12">
        <f t="shared" si="182"/>
        <v>1</v>
      </c>
      <c r="V206" s="12">
        <f t="shared" si="183"/>
        <v>3</v>
      </c>
      <c r="W206" s="12">
        <f t="shared" si="184"/>
        <v>0</v>
      </c>
      <c r="X206" s="12">
        <f t="shared" si="185"/>
        <v>0</v>
      </c>
      <c r="Y206" s="19"/>
      <c r="Z206" s="20" t="str">
        <f t="shared" ref="Z206:Z207" si="189">IF(X206&gt;0, "Not Completed",
   IF(T206=10, "First Class",
      IF(S206&gt;75, IF(V206&gt;0, "Ordinary Pass", "First Class"),
         IF(S206&gt;65, IF(V206&gt;0, "Ordinary Pass", "Second Class"), "none")
      )
   )
)</f>
        <v>Ordinary Pass</v>
      </c>
      <c r="AA206" s="12"/>
      <c r="AB206" s="47"/>
    </row>
    <row r="207" spans="2:28" ht="27" customHeight="1">
      <c r="B207" s="9">
        <v>200</v>
      </c>
      <c r="C207" s="16" t="s">
        <v>384</v>
      </c>
      <c r="D207" s="18" t="s">
        <v>385</v>
      </c>
      <c r="E207" s="15" t="s">
        <v>386</v>
      </c>
      <c r="F207" s="12">
        <v>49</v>
      </c>
      <c r="G207" s="12" t="str">
        <f t="shared" si="174"/>
        <v>S</v>
      </c>
      <c r="H207" s="12">
        <v>35</v>
      </c>
      <c r="I207" s="12" t="str">
        <f t="shared" si="175"/>
        <v>S</v>
      </c>
      <c r="J207" s="12">
        <v>56</v>
      </c>
      <c r="K207" s="12" t="str">
        <f t="shared" si="176"/>
        <v>C</v>
      </c>
      <c r="L207" s="12">
        <v>67</v>
      </c>
      <c r="M207" s="12" t="str">
        <f t="shared" si="177"/>
        <v>C</v>
      </c>
      <c r="N207" s="12">
        <v>45</v>
      </c>
      <c r="O207" s="12" t="str">
        <f t="shared" si="178"/>
        <v>S</v>
      </c>
      <c r="P207" s="12">
        <v>72</v>
      </c>
      <c r="Q207" s="12" t="str">
        <f t="shared" si="179"/>
        <v>C</v>
      </c>
      <c r="R207" s="12">
        <f t="shared" si="188"/>
        <v>324</v>
      </c>
      <c r="S207" s="12" t="str">
        <f t="shared" si="180"/>
        <v>54%</v>
      </c>
      <c r="T207" s="12">
        <f t="shared" si="181"/>
        <v>0</v>
      </c>
      <c r="U207" s="12">
        <f t="shared" si="182"/>
        <v>3</v>
      </c>
      <c r="V207" s="12">
        <f t="shared" si="183"/>
        <v>2</v>
      </c>
      <c r="W207" s="12">
        <f t="shared" si="184"/>
        <v>0</v>
      </c>
      <c r="X207" s="12">
        <f t="shared" si="185"/>
        <v>0</v>
      </c>
      <c r="Y207" s="19"/>
      <c r="Z207" s="20" t="str">
        <f t="shared" si="189"/>
        <v>Ordinary Pass</v>
      </c>
      <c r="AA207" s="12"/>
      <c r="AB207" s="47"/>
    </row>
    <row r="208" spans="2:28" ht="27" customHeight="1">
      <c r="B208" s="9">
        <v>201</v>
      </c>
      <c r="C208" s="16" t="s">
        <v>387</v>
      </c>
      <c r="D208" s="18" t="s">
        <v>388</v>
      </c>
      <c r="E208" s="15" t="s">
        <v>389</v>
      </c>
      <c r="F208" s="12" t="s">
        <v>14</v>
      </c>
      <c r="G208" s="12" t="str">
        <f t="shared" ref="G208:G211" si="190">IF(F208="-", "AB", IF(F208&gt;=75, "D", IF(F208&gt;=55, "C", IF(F208&gt;=35, "S", IF(F208&gt;=0, "F")))))</f>
        <v>AB</v>
      </c>
      <c r="H208" s="12" t="s">
        <v>14</v>
      </c>
      <c r="I208" s="12" t="str">
        <f t="shared" ref="I208:I227" si="191">IF(H208="-", "AB", IF(H208&gt;=75, "D", IF(H208&gt;=55, "C", IF(H208&gt;=35, "S", IF(H208&gt;=0, "F")))))</f>
        <v>AB</v>
      </c>
      <c r="J208" s="12" t="s">
        <v>14</v>
      </c>
      <c r="K208" s="12" t="str">
        <f t="shared" ref="K208:K227" si="192">IF(J208="-", "AB", IF(J208&gt;=75, "D", IF(J208&gt;=55, "C", IF(J208&gt;=35, "S", IF(J208&gt;=0, "F")))))</f>
        <v>AB</v>
      </c>
      <c r="L208" s="12" t="s">
        <v>14</v>
      </c>
      <c r="M208" s="12" t="str">
        <f t="shared" ref="M208:M227" si="193">IF(L208="-", "AB", IF(L208&gt;=75, "D", IF(L208&gt;=55, "C", IF(L208&gt;=35, "S", IF(L208&gt;=0, "F")))))</f>
        <v>AB</v>
      </c>
      <c r="N208" s="12" t="s">
        <v>14</v>
      </c>
      <c r="O208" s="12" t="str">
        <f t="shared" ref="O208:O227" si="194">IF(N208="-", "AB", IF(N208&gt;=75, "D", IF(N208&gt;=55, "C", IF(N208&gt;=35, "S", IF(N208&gt;=0, "F")))))</f>
        <v>AB</v>
      </c>
      <c r="P208" s="12" t="s">
        <v>14</v>
      </c>
      <c r="Q208" s="12" t="str">
        <f t="shared" ref="Q208:Q227" si="195">IF(P208="-", "AB", IF(P208&gt;=75, "D", IF(P208&gt;=55, "C", IF(P208&gt;=35, "S", IF(P208&gt;=0, "F")))))</f>
        <v>AB</v>
      </c>
      <c r="R208" s="12">
        <v>0</v>
      </c>
      <c r="S208" s="12" t="str">
        <f t="shared" ref="S208:S227" si="196">ROUND(R208/6, 0)&amp;"%"</f>
        <v>0%</v>
      </c>
      <c r="T208" s="12">
        <f t="shared" ref="T208:T227" si="197">COUNTIF(F208:Q208, "D")</f>
        <v>0</v>
      </c>
      <c r="U208" s="12">
        <f t="shared" ref="U208:U227" si="198">COUNTIF(G208:T208, "C")</f>
        <v>0</v>
      </c>
      <c r="V208" s="12">
        <f t="shared" ref="V208:V227" si="199">COUNTIF(H208:U208, "S")</f>
        <v>0</v>
      </c>
      <c r="W208" s="12">
        <f t="shared" ref="W208:W227" si="200">COUNTIF(I208:V208, "F")</f>
        <v>0</v>
      </c>
      <c r="X208" s="12">
        <f t="shared" ref="X208:X227" si="201">COUNTIF(F208:W208, "-")</f>
        <v>6</v>
      </c>
      <c r="Y208" s="19"/>
      <c r="Z208" s="20" t="s">
        <v>7</v>
      </c>
      <c r="AA208" s="12"/>
      <c r="AB208" s="47"/>
    </row>
    <row r="209" spans="2:28" ht="27" customHeight="1">
      <c r="B209" s="9">
        <v>202</v>
      </c>
      <c r="C209" s="16" t="s">
        <v>390</v>
      </c>
      <c r="D209" s="18" t="s">
        <v>391</v>
      </c>
      <c r="E209" s="15" t="s">
        <v>392</v>
      </c>
      <c r="F209" s="12">
        <v>81</v>
      </c>
      <c r="G209" s="12" t="str">
        <f t="shared" si="190"/>
        <v>D</v>
      </c>
      <c r="H209" s="12">
        <v>70</v>
      </c>
      <c r="I209" s="12" t="str">
        <f t="shared" si="191"/>
        <v>C</v>
      </c>
      <c r="J209" s="12">
        <v>50</v>
      </c>
      <c r="K209" s="12" t="str">
        <f t="shared" si="192"/>
        <v>S</v>
      </c>
      <c r="L209" s="12">
        <v>51</v>
      </c>
      <c r="M209" s="12" t="str">
        <f t="shared" si="193"/>
        <v>S</v>
      </c>
      <c r="N209" s="12">
        <v>69</v>
      </c>
      <c r="O209" s="12" t="str">
        <f t="shared" si="194"/>
        <v>C</v>
      </c>
      <c r="P209" s="12">
        <v>61</v>
      </c>
      <c r="Q209" s="12" t="str">
        <f t="shared" si="195"/>
        <v>C</v>
      </c>
      <c r="R209" s="12">
        <f t="shared" ref="R209:R211" si="202">SUM(F209+H209+J209+L209+N209+P209)</f>
        <v>382</v>
      </c>
      <c r="S209" s="12" t="str">
        <f t="shared" si="196"/>
        <v>64%</v>
      </c>
      <c r="T209" s="12">
        <f t="shared" si="197"/>
        <v>1</v>
      </c>
      <c r="U209" s="12">
        <f t="shared" si="198"/>
        <v>3</v>
      </c>
      <c r="V209" s="12">
        <f t="shared" si="199"/>
        <v>2</v>
      </c>
      <c r="W209" s="12">
        <f t="shared" si="200"/>
        <v>0</v>
      </c>
      <c r="X209" s="12">
        <f t="shared" si="201"/>
        <v>0</v>
      </c>
      <c r="Y209" s="19"/>
      <c r="Z209" s="20" t="str">
        <f t="shared" ref="Z209" si="203">IF(X209&gt;0, "Not Completed",
   IF(T209=10, "First Class",
      IF(S209&gt;75, IF(V209&gt;0, "Ordinary Pass", "First Class"),
         IF(S209&gt;65, IF(V209&gt;0, "Ordinary Pass", "Second Class"), "none")
      )
   )
)</f>
        <v>Ordinary Pass</v>
      </c>
      <c r="AA209" s="12"/>
      <c r="AB209" s="47"/>
    </row>
    <row r="210" spans="2:28" ht="27" customHeight="1">
      <c r="B210" s="9">
        <v>203</v>
      </c>
      <c r="C210" s="16" t="s">
        <v>393</v>
      </c>
      <c r="D210" s="18">
        <v>198973000338</v>
      </c>
      <c r="E210" s="15" t="s">
        <v>394</v>
      </c>
      <c r="F210" s="12">
        <v>75</v>
      </c>
      <c r="G210" s="12" t="str">
        <f t="shared" si="190"/>
        <v>D</v>
      </c>
      <c r="H210" s="12">
        <v>55</v>
      </c>
      <c r="I210" s="12" t="str">
        <f t="shared" si="191"/>
        <v>C</v>
      </c>
      <c r="J210" s="12">
        <v>72</v>
      </c>
      <c r="K210" s="12" t="str">
        <f t="shared" si="192"/>
        <v>C</v>
      </c>
      <c r="L210" s="12">
        <v>77</v>
      </c>
      <c r="M210" s="12" t="str">
        <f t="shared" si="193"/>
        <v>D</v>
      </c>
      <c r="N210" s="12">
        <v>58</v>
      </c>
      <c r="O210" s="12" t="str">
        <f t="shared" si="194"/>
        <v>C</v>
      </c>
      <c r="P210" s="12">
        <v>73</v>
      </c>
      <c r="Q210" s="12" t="str">
        <f t="shared" si="195"/>
        <v>C</v>
      </c>
      <c r="R210" s="12">
        <f t="shared" si="202"/>
        <v>410</v>
      </c>
      <c r="S210" s="12" t="str">
        <f t="shared" si="196"/>
        <v>68%</v>
      </c>
      <c r="T210" s="12">
        <f t="shared" si="197"/>
        <v>2</v>
      </c>
      <c r="U210" s="12">
        <f t="shared" si="198"/>
        <v>4</v>
      </c>
      <c r="V210" s="12">
        <f t="shared" si="199"/>
        <v>0</v>
      </c>
      <c r="W210" s="12">
        <f t="shared" si="200"/>
        <v>0</v>
      </c>
      <c r="X210" s="12">
        <f t="shared" si="201"/>
        <v>0</v>
      </c>
      <c r="Y210" s="19"/>
      <c r="Z210" s="20" t="s">
        <v>10</v>
      </c>
      <c r="AA210" s="12"/>
      <c r="AB210" s="47"/>
    </row>
    <row r="211" spans="2:28" ht="27" customHeight="1">
      <c r="B211" s="9">
        <v>204</v>
      </c>
      <c r="C211" s="16" t="s">
        <v>395</v>
      </c>
      <c r="D211" s="18">
        <v>197212721501</v>
      </c>
      <c r="E211" s="15" t="s">
        <v>396</v>
      </c>
      <c r="F211" s="12">
        <v>61</v>
      </c>
      <c r="G211" s="12" t="str">
        <f t="shared" si="190"/>
        <v>C</v>
      </c>
      <c r="H211" s="12">
        <v>64</v>
      </c>
      <c r="I211" s="12" t="str">
        <f t="shared" si="191"/>
        <v>C</v>
      </c>
      <c r="J211" s="12">
        <v>55</v>
      </c>
      <c r="K211" s="12" t="str">
        <f t="shared" si="192"/>
        <v>C</v>
      </c>
      <c r="L211" s="12">
        <v>60</v>
      </c>
      <c r="M211" s="12" t="str">
        <f t="shared" si="193"/>
        <v>C</v>
      </c>
      <c r="N211" s="12">
        <v>61</v>
      </c>
      <c r="O211" s="12" t="str">
        <f t="shared" si="194"/>
        <v>C</v>
      </c>
      <c r="P211" s="12">
        <v>55</v>
      </c>
      <c r="Q211" s="12" t="str">
        <f t="shared" si="195"/>
        <v>C</v>
      </c>
      <c r="R211" s="12">
        <f t="shared" si="202"/>
        <v>356</v>
      </c>
      <c r="S211" s="12" t="str">
        <f t="shared" si="196"/>
        <v>59%</v>
      </c>
      <c r="T211" s="12">
        <f t="shared" si="197"/>
        <v>0</v>
      </c>
      <c r="U211" s="12">
        <f t="shared" si="198"/>
        <v>6</v>
      </c>
      <c r="V211" s="12">
        <f t="shared" si="199"/>
        <v>0</v>
      </c>
      <c r="W211" s="12">
        <f t="shared" si="200"/>
        <v>0</v>
      </c>
      <c r="X211" s="12">
        <f t="shared" si="201"/>
        <v>0</v>
      </c>
      <c r="Y211" s="19"/>
      <c r="Z211" s="37" t="s">
        <v>784</v>
      </c>
      <c r="AA211" s="12"/>
      <c r="AB211" s="47"/>
    </row>
    <row r="212" spans="2:28" ht="27" customHeight="1">
      <c r="B212" s="9">
        <v>205</v>
      </c>
      <c r="C212" s="16" t="s">
        <v>397</v>
      </c>
      <c r="D212" s="17" t="s">
        <v>398</v>
      </c>
      <c r="E212" s="15" t="s">
        <v>399</v>
      </c>
      <c r="F212" s="1">
        <v>44</v>
      </c>
      <c r="G212" s="12" t="str">
        <f>IF(F212="-", "AB", IF(F212&gt;=75, "D", IF(F212&gt;=55, "C", IF(F212&gt;=35, "S", IF(F212&gt;=0, "F")))))</f>
        <v>S</v>
      </c>
      <c r="H212" s="12">
        <v>81</v>
      </c>
      <c r="I212" s="12" t="str">
        <f t="shared" si="191"/>
        <v>D</v>
      </c>
      <c r="J212" s="12">
        <v>54</v>
      </c>
      <c r="K212" s="12" t="str">
        <f t="shared" si="192"/>
        <v>S</v>
      </c>
      <c r="L212" s="12">
        <v>45</v>
      </c>
      <c r="M212" s="12" t="str">
        <f t="shared" si="193"/>
        <v>S</v>
      </c>
      <c r="N212" s="12">
        <v>75</v>
      </c>
      <c r="O212" s="12" t="str">
        <f t="shared" si="194"/>
        <v>D</v>
      </c>
      <c r="P212" s="12">
        <v>46</v>
      </c>
      <c r="Q212" s="12" t="str">
        <f t="shared" si="195"/>
        <v>S</v>
      </c>
      <c r="R212" s="12">
        <f>SUM(F212+H212+J212+L212+N212+P212)</f>
        <v>345</v>
      </c>
      <c r="S212" s="12" t="str">
        <f t="shared" si="196"/>
        <v>58%</v>
      </c>
      <c r="T212" s="12">
        <f t="shared" si="197"/>
        <v>2</v>
      </c>
      <c r="U212" s="12">
        <f t="shared" si="198"/>
        <v>0</v>
      </c>
      <c r="V212" s="12">
        <f t="shared" si="199"/>
        <v>3</v>
      </c>
      <c r="W212" s="12">
        <f t="shared" si="200"/>
        <v>0</v>
      </c>
      <c r="X212" s="12">
        <f t="shared" si="201"/>
        <v>0</v>
      </c>
      <c r="Y212" s="19"/>
      <c r="Z212" s="20" t="str">
        <f>IF(X212&gt;0, "Not Completed",
   IF(T212=10, "First Class",
      IF(S212&gt;75, IF(V212&gt;0, "Ordinary Pass", "First Class"),
         IF(S212&gt;65, IF(V212&gt;0, "Ordinary Pass", "Second Class"), "none")
      )
   )
)</f>
        <v>Ordinary Pass</v>
      </c>
      <c r="AA212" s="12"/>
      <c r="AB212" s="47"/>
    </row>
    <row r="213" spans="2:28" ht="27" customHeight="1">
      <c r="B213" s="9">
        <v>206</v>
      </c>
      <c r="C213" s="16" t="s">
        <v>400</v>
      </c>
      <c r="D213" s="18" t="s">
        <v>401</v>
      </c>
      <c r="E213" s="15" t="s">
        <v>402</v>
      </c>
      <c r="F213" s="12">
        <v>43</v>
      </c>
      <c r="G213" s="12" t="str">
        <f t="shared" ref="G213:G227" si="204">IF(F213="-", "AB", IF(F213&gt;=75, "D", IF(F213&gt;=55, "C", IF(F213&gt;=35, "S", IF(F213&gt;=0, "F")))))</f>
        <v>S</v>
      </c>
      <c r="H213" s="12">
        <v>47</v>
      </c>
      <c r="I213" s="12" t="str">
        <f t="shared" si="191"/>
        <v>S</v>
      </c>
      <c r="J213" s="12">
        <v>38</v>
      </c>
      <c r="K213" s="12" t="str">
        <f t="shared" si="192"/>
        <v>S</v>
      </c>
      <c r="L213" s="12">
        <v>38</v>
      </c>
      <c r="M213" s="12" t="str">
        <f t="shared" si="193"/>
        <v>S</v>
      </c>
      <c r="N213" s="12">
        <v>67</v>
      </c>
      <c r="O213" s="12" t="str">
        <f t="shared" si="194"/>
        <v>C</v>
      </c>
      <c r="P213" s="12">
        <v>35</v>
      </c>
      <c r="Q213" s="12" t="str">
        <f t="shared" si="195"/>
        <v>S</v>
      </c>
      <c r="R213" s="12">
        <f t="shared" ref="R213:R227" si="205">SUM(F213+H213+J213+L213+N213+P213)</f>
        <v>268</v>
      </c>
      <c r="S213" s="12" t="str">
        <f t="shared" si="196"/>
        <v>45%</v>
      </c>
      <c r="T213" s="12">
        <f t="shared" si="197"/>
        <v>0</v>
      </c>
      <c r="U213" s="12">
        <f t="shared" si="198"/>
        <v>1</v>
      </c>
      <c r="V213" s="12">
        <f t="shared" si="199"/>
        <v>4</v>
      </c>
      <c r="W213" s="12">
        <f t="shared" si="200"/>
        <v>0</v>
      </c>
      <c r="X213" s="12">
        <f t="shared" si="201"/>
        <v>0</v>
      </c>
      <c r="Y213" s="19"/>
      <c r="Z213" s="20" t="str">
        <f t="shared" ref="Z213:Z227" si="206">IF(X213&gt;0, "Not Completed",
   IF(T213=10, "First Class",
      IF(S213&gt;75, IF(V213&gt;0, "Ordinary Pass", "First Class"),
         IF(S213&gt;65, IF(V213&gt;0, "Ordinary Pass", "Second Class"), "none")
      )
   )
)</f>
        <v>Ordinary Pass</v>
      </c>
      <c r="AA213" s="12"/>
      <c r="AB213" s="47"/>
    </row>
    <row r="214" spans="2:28" ht="27" customHeight="1">
      <c r="B214" s="9">
        <v>207</v>
      </c>
      <c r="C214" s="16" t="s">
        <v>403</v>
      </c>
      <c r="D214" s="18" t="s">
        <v>404</v>
      </c>
      <c r="E214" s="15" t="s">
        <v>405</v>
      </c>
      <c r="F214" s="12">
        <v>65</v>
      </c>
      <c r="G214" s="12" t="str">
        <f t="shared" si="204"/>
        <v>C</v>
      </c>
      <c r="H214" s="12">
        <v>66</v>
      </c>
      <c r="I214" s="12" t="str">
        <f t="shared" si="191"/>
        <v>C</v>
      </c>
      <c r="J214" s="12">
        <v>58</v>
      </c>
      <c r="K214" s="12" t="str">
        <f t="shared" si="192"/>
        <v>C</v>
      </c>
      <c r="L214" s="12">
        <v>45</v>
      </c>
      <c r="M214" s="12" t="str">
        <f t="shared" si="193"/>
        <v>S</v>
      </c>
      <c r="N214" s="12">
        <v>78</v>
      </c>
      <c r="O214" s="12" t="str">
        <f t="shared" si="194"/>
        <v>D</v>
      </c>
      <c r="P214" s="12">
        <v>61</v>
      </c>
      <c r="Q214" s="12" t="str">
        <f t="shared" si="195"/>
        <v>C</v>
      </c>
      <c r="R214" s="12">
        <f t="shared" si="205"/>
        <v>373</v>
      </c>
      <c r="S214" s="12" t="str">
        <f t="shared" si="196"/>
        <v>62%</v>
      </c>
      <c r="T214" s="12">
        <f t="shared" si="197"/>
        <v>1</v>
      </c>
      <c r="U214" s="12">
        <f t="shared" si="198"/>
        <v>4</v>
      </c>
      <c r="V214" s="12">
        <f t="shared" si="199"/>
        <v>1</v>
      </c>
      <c r="W214" s="12">
        <f t="shared" si="200"/>
        <v>0</v>
      </c>
      <c r="X214" s="12">
        <f t="shared" si="201"/>
        <v>0</v>
      </c>
      <c r="Y214" s="19"/>
      <c r="Z214" s="20" t="str">
        <f t="shared" si="206"/>
        <v>Ordinary Pass</v>
      </c>
      <c r="AA214" s="12"/>
      <c r="AB214" s="47"/>
    </row>
    <row r="215" spans="2:28" ht="27" customHeight="1">
      <c r="B215" s="9">
        <v>208</v>
      </c>
      <c r="C215" s="16" t="s">
        <v>406</v>
      </c>
      <c r="D215" s="18" t="s">
        <v>407</v>
      </c>
      <c r="E215" s="15" t="s">
        <v>408</v>
      </c>
      <c r="F215" s="12">
        <v>79</v>
      </c>
      <c r="G215" s="12" t="str">
        <f t="shared" si="204"/>
        <v>D</v>
      </c>
      <c r="H215" s="12">
        <v>72</v>
      </c>
      <c r="I215" s="12" t="str">
        <f t="shared" si="191"/>
        <v>C</v>
      </c>
      <c r="J215" s="12">
        <v>73</v>
      </c>
      <c r="K215" s="12" t="str">
        <f t="shared" si="192"/>
        <v>C</v>
      </c>
      <c r="L215" s="12">
        <v>68</v>
      </c>
      <c r="M215" s="12" t="str">
        <f t="shared" si="193"/>
        <v>C</v>
      </c>
      <c r="N215" s="12">
        <v>59</v>
      </c>
      <c r="O215" s="12" t="str">
        <f t="shared" si="194"/>
        <v>C</v>
      </c>
      <c r="P215" s="12">
        <v>58</v>
      </c>
      <c r="Q215" s="12" t="str">
        <f t="shared" si="195"/>
        <v>C</v>
      </c>
      <c r="R215" s="12">
        <f t="shared" si="205"/>
        <v>409</v>
      </c>
      <c r="S215" s="12" t="str">
        <f t="shared" si="196"/>
        <v>68%</v>
      </c>
      <c r="T215" s="12">
        <f t="shared" si="197"/>
        <v>1</v>
      </c>
      <c r="U215" s="12">
        <f t="shared" si="198"/>
        <v>5</v>
      </c>
      <c r="V215" s="12">
        <f t="shared" si="199"/>
        <v>0</v>
      </c>
      <c r="W215" s="12">
        <f t="shared" si="200"/>
        <v>0</v>
      </c>
      <c r="X215" s="12">
        <f t="shared" si="201"/>
        <v>0</v>
      </c>
      <c r="Y215" s="19"/>
      <c r="Z215" s="20" t="s">
        <v>10</v>
      </c>
      <c r="AA215" s="12"/>
      <c r="AB215" s="47"/>
    </row>
    <row r="216" spans="2:28" ht="27" customHeight="1">
      <c r="B216" s="9">
        <v>209</v>
      </c>
      <c r="C216" s="16" t="s">
        <v>409</v>
      </c>
      <c r="D216" s="18">
        <v>198753902859</v>
      </c>
      <c r="E216" s="15" t="s">
        <v>410</v>
      </c>
      <c r="F216" s="12">
        <v>93</v>
      </c>
      <c r="G216" s="12" t="str">
        <f t="shared" si="204"/>
        <v>D</v>
      </c>
      <c r="H216" s="12">
        <v>65</v>
      </c>
      <c r="I216" s="12" t="str">
        <f t="shared" si="191"/>
        <v>C</v>
      </c>
      <c r="J216" s="12">
        <v>52</v>
      </c>
      <c r="K216" s="12" t="str">
        <f t="shared" si="192"/>
        <v>S</v>
      </c>
      <c r="L216" s="12">
        <v>65</v>
      </c>
      <c r="M216" s="12" t="str">
        <f t="shared" si="193"/>
        <v>C</v>
      </c>
      <c r="N216" s="12">
        <v>68</v>
      </c>
      <c r="O216" s="12" t="str">
        <f t="shared" si="194"/>
        <v>C</v>
      </c>
      <c r="P216" s="12">
        <v>37</v>
      </c>
      <c r="Q216" s="12" t="str">
        <f t="shared" si="195"/>
        <v>S</v>
      </c>
      <c r="R216" s="12">
        <f t="shared" si="205"/>
        <v>380</v>
      </c>
      <c r="S216" s="12" t="str">
        <f t="shared" si="196"/>
        <v>63%</v>
      </c>
      <c r="T216" s="12">
        <f t="shared" si="197"/>
        <v>1</v>
      </c>
      <c r="U216" s="12">
        <f t="shared" si="198"/>
        <v>3</v>
      </c>
      <c r="V216" s="12">
        <f t="shared" si="199"/>
        <v>2</v>
      </c>
      <c r="W216" s="12">
        <f t="shared" si="200"/>
        <v>0</v>
      </c>
      <c r="X216" s="12">
        <f t="shared" si="201"/>
        <v>0</v>
      </c>
      <c r="Y216" s="19"/>
      <c r="Z216" s="20" t="str">
        <f t="shared" si="206"/>
        <v>Ordinary Pass</v>
      </c>
      <c r="AA216" s="12"/>
      <c r="AB216" s="47"/>
    </row>
    <row r="217" spans="2:28" ht="27" customHeight="1">
      <c r="B217" s="9">
        <v>210</v>
      </c>
      <c r="C217" s="16" t="s">
        <v>411</v>
      </c>
      <c r="D217" s="18" t="s">
        <v>412</v>
      </c>
      <c r="E217" s="15" t="s">
        <v>413</v>
      </c>
      <c r="F217" s="12">
        <v>72</v>
      </c>
      <c r="G217" s="12" t="str">
        <f t="shared" si="204"/>
        <v>C</v>
      </c>
      <c r="H217" s="12">
        <v>74</v>
      </c>
      <c r="I217" s="12" t="str">
        <f t="shared" si="191"/>
        <v>C</v>
      </c>
      <c r="J217" s="12">
        <v>61</v>
      </c>
      <c r="K217" s="12" t="str">
        <f t="shared" si="192"/>
        <v>C</v>
      </c>
      <c r="L217" s="12">
        <v>47</v>
      </c>
      <c r="M217" s="12" t="str">
        <f t="shared" si="193"/>
        <v>S</v>
      </c>
      <c r="N217" s="12">
        <v>54</v>
      </c>
      <c r="O217" s="12" t="str">
        <f t="shared" si="194"/>
        <v>S</v>
      </c>
      <c r="P217" s="12">
        <v>48</v>
      </c>
      <c r="Q217" s="12" t="str">
        <f t="shared" si="195"/>
        <v>S</v>
      </c>
      <c r="R217" s="12">
        <f t="shared" si="205"/>
        <v>356</v>
      </c>
      <c r="S217" s="12" t="str">
        <f t="shared" si="196"/>
        <v>59%</v>
      </c>
      <c r="T217" s="12">
        <f t="shared" si="197"/>
        <v>0</v>
      </c>
      <c r="U217" s="12">
        <f t="shared" si="198"/>
        <v>3</v>
      </c>
      <c r="V217" s="12">
        <f t="shared" si="199"/>
        <v>3</v>
      </c>
      <c r="W217" s="12">
        <f t="shared" si="200"/>
        <v>0</v>
      </c>
      <c r="X217" s="12">
        <f t="shared" si="201"/>
        <v>0</v>
      </c>
      <c r="Y217" s="19"/>
      <c r="Z217" s="20" t="str">
        <f t="shared" si="206"/>
        <v>Ordinary Pass</v>
      </c>
      <c r="AA217" s="12"/>
      <c r="AB217" s="47"/>
    </row>
    <row r="218" spans="2:28" ht="27" customHeight="1">
      <c r="B218" s="9">
        <v>211</v>
      </c>
      <c r="C218" s="16" t="s">
        <v>414</v>
      </c>
      <c r="D218" s="18">
        <v>200158604058</v>
      </c>
      <c r="E218" s="15" t="s">
        <v>415</v>
      </c>
      <c r="F218" s="12">
        <v>48</v>
      </c>
      <c r="G218" s="12" t="str">
        <f t="shared" si="204"/>
        <v>S</v>
      </c>
      <c r="H218" s="12">
        <v>58</v>
      </c>
      <c r="I218" s="12" t="str">
        <f t="shared" si="191"/>
        <v>C</v>
      </c>
      <c r="J218" s="12">
        <v>67</v>
      </c>
      <c r="K218" s="12" t="str">
        <f t="shared" si="192"/>
        <v>C</v>
      </c>
      <c r="L218" s="12">
        <v>54</v>
      </c>
      <c r="M218" s="12" t="str">
        <f t="shared" si="193"/>
        <v>S</v>
      </c>
      <c r="N218" s="12">
        <v>44</v>
      </c>
      <c r="O218" s="12" t="str">
        <f t="shared" si="194"/>
        <v>S</v>
      </c>
      <c r="P218" s="12">
        <v>35</v>
      </c>
      <c r="Q218" s="12" t="str">
        <f t="shared" si="195"/>
        <v>S</v>
      </c>
      <c r="R218" s="12">
        <f t="shared" si="205"/>
        <v>306</v>
      </c>
      <c r="S218" s="12" t="str">
        <f t="shared" si="196"/>
        <v>51%</v>
      </c>
      <c r="T218" s="12">
        <f t="shared" si="197"/>
        <v>0</v>
      </c>
      <c r="U218" s="12">
        <f t="shared" si="198"/>
        <v>2</v>
      </c>
      <c r="V218" s="12">
        <f t="shared" si="199"/>
        <v>3</v>
      </c>
      <c r="W218" s="12">
        <f t="shared" si="200"/>
        <v>0</v>
      </c>
      <c r="X218" s="12">
        <f t="shared" si="201"/>
        <v>0</v>
      </c>
      <c r="Y218" s="19"/>
      <c r="Z218" s="20" t="str">
        <f t="shared" si="206"/>
        <v>Ordinary Pass</v>
      </c>
      <c r="AA218" s="12"/>
      <c r="AB218" s="47"/>
    </row>
    <row r="219" spans="2:28" ht="27" customHeight="1">
      <c r="B219" s="9">
        <v>212</v>
      </c>
      <c r="C219" s="16" t="s">
        <v>416</v>
      </c>
      <c r="D219" s="18">
        <v>20015500284</v>
      </c>
      <c r="E219" s="15" t="s">
        <v>417</v>
      </c>
      <c r="F219" s="12">
        <v>67</v>
      </c>
      <c r="G219" s="12" t="str">
        <f t="shared" si="204"/>
        <v>C</v>
      </c>
      <c r="H219" s="12">
        <v>57</v>
      </c>
      <c r="I219" s="12" t="str">
        <f t="shared" si="191"/>
        <v>C</v>
      </c>
      <c r="J219" s="12">
        <v>61</v>
      </c>
      <c r="K219" s="12" t="str">
        <f t="shared" si="192"/>
        <v>C</v>
      </c>
      <c r="L219" s="12">
        <v>73</v>
      </c>
      <c r="M219" s="12" t="str">
        <f t="shared" si="193"/>
        <v>C</v>
      </c>
      <c r="N219" s="12">
        <v>50</v>
      </c>
      <c r="O219" s="12" t="str">
        <f t="shared" si="194"/>
        <v>S</v>
      </c>
      <c r="P219" s="12">
        <v>45</v>
      </c>
      <c r="Q219" s="12" t="str">
        <f t="shared" si="195"/>
        <v>S</v>
      </c>
      <c r="R219" s="12">
        <f t="shared" si="205"/>
        <v>353</v>
      </c>
      <c r="S219" s="12" t="str">
        <f t="shared" si="196"/>
        <v>59%</v>
      </c>
      <c r="T219" s="12">
        <f t="shared" si="197"/>
        <v>0</v>
      </c>
      <c r="U219" s="12">
        <f t="shared" si="198"/>
        <v>4</v>
      </c>
      <c r="V219" s="12">
        <f t="shared" si="199"/>
        <v>2</v>
      </c>
      <c r="W219" s="12">
        <f t="shared" si="200"/>
        <v>0</v>
      </c>
      <c r="X219" s="12">
        <f t="shared" si="201"/>
        <v>0</v>
      </c>
      <c r="Y219" s="19"/>
      <c r="Z219" s="20" t="str">
        <f t="shared" si="206"/>
        <v>Ordinary Pass</v>
      </c>
      <c r="AA219" s="12"/>
      <c r="AB219" s="47"/>
    </row>
    <row r="220" spans="2:28" ht="27" customHeight="1">
      <c r="B220" s="9">
        <v>213</v>
      </c>
      <c r="C220" s="16" t="s">
        <v>418</v>
      </c>
      <c r="D220" s="18" t="s">
        <v>419</v>
      </c>
      <c r="E220" s="15" t="s">
        <v>420</v>
      </c>
      <c r="F220" s="12">
        <v>51</v>
      </c>
      <c r="G220" s="12" t="str">
        <f t="shared" si="204"/>
        <v>S</v>
      </c>
      <c r="H220" s="12">
        <v>60</v>
      </c>
      <c r="I220" s="12" t="str">
        <f t="shared" si="191"/>
        <v>C</v>
      </c>
      <c r="J220" s="12">
        <v>69</v>
      </c>
      <c r="K220" s="12" t="str">
        <f t="shared" si="192"/>
        <v>C</v>
      </c>
      <c r="L220" s="12">
        <v>56</v>
      </c>
      <c r="M220" s="12" t="str">
        <f t="shared" si="193"/>
        <v>C</v>
      </c>
      <c r="N220" s="12">
        <v>66</v>
      </c>
      <c r="O220" s="12" t="str">
        <f t="shared" si="194"/>
        <v>C</v>
      </c>
      <c r="P220" s="12">
        <v>46</v>
      </c>
      <c r="Q220" s="12" t="str">
        <f t="shared" si="195"/>
        <v>S</v>
      </c>
      <c r="R220" s="12">
        <f t="shared" si="205"/>
        <v>348</v>
      </c>
      <c r="S220" s="12" t="str">
        <f t="shared" si="196"/>
        <v>58%</v>
      </c>
      <c r="T220" s="12">
        <f t="shared" si="197"/>
        <v>0</v>
      </c>
      <c r="U220" s="12">
        <f t="shared" si="198"/>
        <v>4</v>
      </c>
      <c r="V220" s="12">
        <f t="shared" si="199"/>
        <v>1</v>
      </c>
      <c r="W220" s="12">
        <f t="shared" si="200"/>
        <v>0</v>
      </c>
      <c r="X220" s="12">
        <f t="shared" si="201"/>
        <v>0</v>
      </c>
      <c r="Y220" s="19"/>
      <c r="Z220" s="20" t="str">
        <f t="shared" si="206"/>
        <v>Ordinary Pass</v>
      </c>
      <c r="AA220" s="12"/>
      <c r="AB220" s="47"/>
    </row>
    <row r="221" spans="2:28" ht="27" customHeight="1">
      <c r="B221" s="9">
        <v>214</v>
      </c>
      <c r="C221" s="16" t="s">
        <v>421</v>
      </c>
      <c r="D221" s="18">
        <v>200077101528</v>
      </c>
      <c r="E221" s="15" t="s">
        <v>422</v>
      </c>
      <c r="F221" s="12">
        <v>87</v>
      </c>
      <c r="G221" s="12" t="str">
        <f t="shared" si="204"/>
        <v>D</v>
      </c>
      <c r="H221" s="12">
        <v>78</v>
      </c>
      <c r="I221" s="12" t="str">
        <f t="shared" si="191"/>
        <v>D</v>
      </c>
      <c r="J221" s="12">
        <v>87</v>
      </c>
      <c r="K221" s="12" t="str">
        <f t="shared" si="192"/>
        <v>D</v>
      </c>
      <c r="L221" s="12">
        <v>48</v>
      </c>
      <c r="M221" s="12" t="str">
        <f t="shared" si="193"/>
        <v>S</v>
      </c>
      <c r="N221" s="12">
        <v>67</v>
      </c>
      <c r="O221" s="12" t="str">
        <f t="shared" si="194"/>
        <v>C</v>
      </c>
      <c r="P221" s="12">
        <v>70</v>
      </c>
      <c r="Q221" s="12" t="str">
        <f t="shared" si="195"/>
        <v>C</v>
      </c>
      <c r="R221" s="12">
        <f t="shared" si="205"/>
        <v>437</v>
      </c>
      <c r="S221" s="12" t="str">
        <f t="shared" si="196"/>
        <v>73%</v>
      </c>
      <c r="T221" s="12">
        <f t="shared" si="197"/>
        <v>3</v>
      </c>
      <c r="U221" s="12">
        <f t="shared" si="198"/>
        <v>2</v>
      </c>
      <c r="V221" s="12">
        <f t="shared" si="199"/>
        <v>1</v>
      </c>
      <c r="W221" s="12">
        <f t="shared" si="200"/>
        <v>0</v>
      </c>
      <c r="X221" s="12">
        <f t="shared" si="201"/>
        <v>0</v>
      </c>
      <c r="Y221" s="19"/>
      <c r="Z221" s="20" t="str">
        <f t="shared" si="206"/>
        <v>Ordinary Pass</v>
      </c>
      <c r="AA221" s="12"/>
      <c r="AB221" s="47"/>
    </row>
    <row r="222" spans="2:28" ht="27" customHeight="1">
      <c r="B222" s="9">
        <v>215</v>
      </c>
      <c r="C222" s="16" t="s">
        <v>423</v>
      </c>
      <c r="D222" s="18">
        <v>20253603200</v>
      </c>
      <c r="E222" s="15" t="s">
        <v>424</v>
      </c>
      <c r="F222" s="12" t="s">
        <v>14</v>
      </c>
      <c r="G222" s="12" t="str">
        <f t="shared" si="204"/>
        <v>AB</v>
      </c>
      <c r="H222" s="12" t="s">
        <v>14</v>
      </c>
      <c r="I222" s="12" t="str">
        <f t="shared" si="191"/>
        <v>AB</v>
      </c>
      <c r="J222" s="12" t="s">
        <v>14</v>
      </c>
      <c r="K222" s="12" t="str">
        <f t="shared" si="192"/>
        <v>AB</v>
      </c>
      <c r="L222" s="12" t="s">
        <v>14</v>
      </c>
      <c r="M222" s="12" t="str">
        <f t="shared" si="193"/>
        <v>AB</v>
      </c>
      <c r="N222" s="12" t="s">
        <v>14</v>
      </c>
      <c r="O222" s="12" t="str">
        <f t="shared" si="194"/>
        <v>AB</v>
      </c>
      <c r="P222" s="12" t="s">
        <v>14</v>
      </c>
      <c r="Q222" s="12" t="str">
        <f t="shared" si="195"/>
        <v>AB</v>
      </c>
      <c r="R222" s="12">
        <v>0</v>
      </c>
      <c r="S222" s="12" t="str">
        <f t="shared" si="196"/>
        <v>0%</v>
      </c>
      <c r="T222" s="12">
        <f t="shared" si="197"/>
        <v>0</v>
      </c>
      <c r="U222" s="12">
        <f t="shared" si="198"/>
        <v>0</v>
      </c>
      <c r="V222" s="12">
        <f t="shared" si="199"/>
        <v>0</v>
      </c>
      <c r="W222" s="12">
        <f t="shared" si="200"/>
        <v>0</v>
      </c>
      <c r="X222" s="12">
        <f t="shared" si="201"/>
        <v>6</v>
      </c>
      <c r="Y222" s="19"/>
      <c r="Z222" s="20" t="s">
        <v>7</v>
      </c>
      <c r="AA222" s="12"/>
      <c r="AB222" s="47"/>
    </row>
    <row r="223" spans="2:28" ht="27" customHeight="1">
      <c r="B223" s="9">
        <v>216</v>
      </c>
      <c r="C223" s="16" t="s">
        <v>425</v>
      </c>
      <c r="D223" s="18" t="s">
        <v>426</v>
      </c>
      <c r="E223" s="15" t="s">
        <v>427</v>
      </c>
      <c r="F223" s="12">
        <v>53</v>
      </c>
      <c r="G223" s="12" t="str">
        <f t="shared" si="204"/>
        <v>S</v>
      </c>
      <c r="H223" s="12">
        <v>76</v>
      </c>
      <c r="I223" s="12" t="str">
        <f t="shared" si="191"/>
        <v>D</v>
      </c>
      <c r="J223" s="12">
        <v>62</v>
      </c>
      <c r="K223" s="12" t="str">
        <f t="shared" si="192"/>
        <v>C</v>
      </c>
      <c r="L223" s="12">
        <v>50</v>
      </c>
      <c r="M223" s="12" t="str">
        <f t="shared" si="193"/>
        <v>S</v>
      </c>
      <c r="N223" s="12">
        <v>64</v>
      </c>
      <c r="O223" s="12" t="str">
        <f t="shared" si="194"/>
        <v>C</v>
      </c>
      <c r="P223" s="12">
        <v>45</v>
      </c>
      <c r="Q223" s="12" t="str">
        <f t="shared" si="195"/>
        <v>S</v>
      </c>
      <c r="R223" s="12">
        <f t="shared" si="205"/>
        <v>350</v>
      </c>
      <c r="S223" s="12" t="str">
        <f t="shared" si="196"/>
        <v>58%</v>
      </c>
      <c r="T223" s="12">
        <f t="shared" si="197"/>
        <v>1</v>
      </c>
      <c r="U223" s="12">
        <f t="shared" si="198"/>
        <v>2</v>
      </c>
      <c r="V223" s="12">
        <f t="shared" si="199"/>
        <v>2</v>
      </c>
      <c r="W223" s="12">
        <f t="shared" si="200"/>
        <v>0</v>
      </c>
      <c r="X223" s="12">
        <f t="shared" si="201"/>
        <v>0</v>
      </c>
      <c r="Y223" s="19"/>
      <c r="Z223" s="20" t="str">
        <f t="shared" si="206"/>
        <v>Ordinary Pass</v>
      </c>
      <c r="AA223" s="12"/>
      <c r="AB223" s="47"/>
    </row>
    <row r="224" spans="2:28" ht="27" customHeight="1">
      <c r="B224" s="9">
        <v>217</v>
      </c>
      <c r="C224" s="16" t="s">
        <v>428</v>
      </c>
      <c r="D224" s="18">
        <v>200210903462</v>
      </c>
      <c r="E224" s="15" t="s">
        <v>429</v>
      </c>
      <c r="F224" s="12">
        <v>56</v>
      </c>
      <c r="G224" s="12" t="str">
        <f t="shared" si="204"/>
        <v>C</v>
      </c>
      <c r="H224" s="12">
        <v>56</v>
      </c>
      <c r="I224" s="12" t="str">
        <f t="shared" si="191"/>
        <v>C</v>
      </c>
      <c r="J224" s="12">
        <v>71</v>
      </c>
      <c r="K224" s="12" t="str">
        <f t="shared" si="192"/>
        <v>C</v>
      </c>
      <c r="L224" s="12">
        <v>51</v>
      </c>
      <c r="M224" s="12" t="str">
        <f t="shared" si="193"/>
        <v>S</v>
      </c>
      <c r="N224" s="12">
        <v>46</v>
      </c>
      <c r="O224" s="12" t="str">
        <f t="shared" si="194"/>
        <v>S</v>
      </c>
      <c r="P224" s="12">
        <v>44</v>
      </c>
      <c r="Q224" s="12" t="str">
        <f t="shared" si="195"/>
        <v>S</v>
      </c>
      <c r="R224" s="12">
        <f t="shared" si="205"/>
        <v>324</v>
      </c>
      <c r="S224" s="12" t="str">
        <f t="shared" si="196"/>
        <v>54%</v>
      </c>
      <c r="T224" s="12">
        <f t="shared" si="197"/>
        <v>0</v>
      </c>
      <c r="U224" s="12">
        <f t="shared" si="198"/>
        <v>3</v>
      </c>
      <c r="V224" s="12">
        <f t="shared" si="199"/>
        <v>3</v>
      </c>
      <c r="W224" s="12">
        <f t="shared" si="200"/>
        <v>0</v>
      </c>
      <c r="X224" s="12">
        <f t="shared" si="201"/>
        <v>0</v>
      </c>
      <c r="Y224" s="19"/>
      <c r="Z224" s="20" t="str">
        <f t="shared" si="206"/>
        <v>Ordinary Pass</v>
      </c>
      <c r="AA224" s="12"/>
      <c r="AB224" s="47"/>
    </row>
    <row r="225" spans="2:28" ht="27" customHeight="1">
      <c r="B225" s="9">
        <v>218</v>
      </c>
      <c r="C225" s="16" t="s">
        <v>430</v>
      </c>
      <c r="D225" s="18">
        <v>200102100327</v>
      </c>
      <c r="E225" s="15" t="s">
        <v>431</v>
      </c>
      <c r="F225" s="12">
        <v>50</v>
      </c>
      <c r="G225" s="12" t="str">
        <f t="shared" si="204"/>
        <v>S</v>
      </c>
      <c r="H225" s="12">
        <v>54</v>
      </c>
      <c r="I225" s="12" t="str">
        <f t="shared" si="191"/>
        <v>S</v>
      </c>
      <c r="J225" s="12">
        <v>65</v>
      </c>
      <c r="K225" s="12" t="str">
        <f t="shared" si="192"/>
        <v>C</v>
      </c>
      <c r="L225" s="12">
        <v>61</v>
      </c>
      <c r="M225" s="12" t="str">
        <f t="shared" si="193"/>
        <v>C</v>
      </c>
      <c r="N225" s="12">
        <v>67</v>
      </c>
      <c r="O225" s="12" t="str">
        <f t="shared" si="194"/>
        <v>C</v>
      </c>
      <c r="P225" s="12">
        <v>39</v>
      </c>
      <c r="Q225" s="12" t="str">
        <f t="shared" si="195"/>
        <v>S</v>
      </c>
      <c r="R225" s="12">
        <f t="shared" si="205"/>
        <v>336</v>
      </c>
      <c r="S225" s="12" t="str">
        <f t="shared" si="196"/>
        <v>56%</v>
      </c>
      <c r="T225" s="12">
        <f t="shared" si="197"/>
        <v>0</v>
      </c>
      <c r="U225" s="12">
        <f t="shared" si="198"/>
        <v>3</v>
      </c>
      <c r="V225" s="12">
        <f t="shared" si="199"/>
        <v>2</v>
      </c>
      <c r="W225" s="12">
        <f t="shared" si="200"/>
        <v>0</v>
      </c>
      <c r="X225" s="12">
        <f t="shared" si="201"/>
        <v>0</v>
      </c>
      <c r="Y225" s="19"/>
      <c r="Z225" s="20" t="str">
        <f t="shared" si="206"/>
        <v>Ordinary Pass</v>
      </c>
      <c r="AA225" s="12"/>
      <c r="AB225" s="47"/>
    </row>
    <row r="226" spans="2:28" ht="27" customHeight="1">
      <c r="B226" s="9">
        <v>219</v>
      </c>
      <c r="C226" s="16" t="s">
        <v>432</v>
      </c>
      <c r="D226" s="18">
        <v>199431004484</v>
      </c>
      <c r="E226" s="15" t="s">
        <v>433</v>
      </c>
      <c r="F226" s="12" t="s">
        <v>14</v>
      </c>
      <c r="G226" s="12" t="str">
        <f t="shared" si="204"/>
        <v>AB</v>
      </c>
      <c r="H226" s="12" t="s">
        <v>14</v>
      </c>
      <c r="I226" s="12" t="str">
        <f t="shared" si="191"/>
        <v>AB</v>
      </c>
      <c r="J226" s="12" t="s">
        <v>14</v>
      </c>
      <c r="K226" s="12" t="str">
        <f t="shared" si="192"/>
        <v>AB</v>
      </c>
      <c r="L226" s="12" t="s">
        <v>14</v>
      </c>
      <c r="M226" s="12" t="str">
        <f t="shared" si="193"/>
        <v>AB</v>
      </c>
      <c r="N226" s="12" t="s">
        <v>14</v>
      </c>
      <c r="O226" s="12" t="str">
        <f t="shared" si="194"/>
        <v>AB</v>
      </c>
      <c r="P226" s="12" t="s">
        <v>14</v>
      </c>
      <c r="Q226" s="12" t="str">
        <f t="shared" si="195"/>
        <v>AB</v>
      </c>
      <c r="R226" s="12">
        <v>0</v>
      </c>
      <c r="S226" s="12" t="str">
        <f t="shared" si="196"/>
        <v>0%</v>
      </c>
      <c r="T226" s="12">
        <f t="shared" si="197"/>
        <v>0</v>
      </c>
      <c r="U226" s="12">
        <f t="shared" si="198"/>
        <v>0</v>
      </c>
      <c r="V226" s="12">
        <f t="shared" si="199"/>
        <v>0</v>
      </c>
      <c r="W226" s="12">
        <f t="shared" si="200"/>
        <v>0</v>
      </c>
      <c r="X226" s="12">
        <f t="shared" si="201"/>
        <v>6</v>
      </c>
      <c r="Y226" s="19"/>
      <c r="Z226" s="20" t="s">
        <v>7</v>
      </c>
      <c r="AA226" s="12"/>
      <c r="AB226" s="47"/>
    </row>
    <row r="227" spans="2:28" ht="27" customHeight="1">
      <c r="B227" s="9">
        <v>220</v>
      </c>
      <c r="C227" s="16" t="s">
        <v>434</v>
      </c>
      <c r="D227" s="18" t="s">
        <v>435</v>
      </c>
      <c r="E227" s="15" t="s">
        <v>436</v>
      </c>
      <c r="F227" s="12">
        <v>66</v>
      </c>
      <c r="G227" s="12" t="str">
        <f t="shared" si="204"/>
        <v>C</v>
      </c>
      <c r="H227" s="12">
        <v>66</v>
      </c>
      <c r="I227" s="12" t="str">
        <f t="shared" si="191"/>
        <v>C</v>
      </c>
      <c r="J227" s="12">
        <v>70</v>
      </c>
      <c r="K227" s="12" t="str">
        <f t="shared" si="192"/>
        <v>C</v>
      </c>
      <c r="L227" s="12">
        <v>54</v>
      </c>
      <c r="M227" s="12" t="str">
        <f t="shared" si="193"/>
        <v>S</v>
      </c>
      <c r="N227" s="12">
        <v>63</v>
      </c>
      <c r="O227" s="12" t="str">
        <f t="shared" si="194"/>
        <v>C</v>
      </c>
      <c r="P227" s="12">
        <v>48</v>
      </c>
      <c r="Q227" s="12" t="str">
        <f t="shared" si="195"/>
        <v>S</v>
      </c>
      <c r="R227" s="12">
        <f t="shared" si="205"/>
        <v>367</v>
      </c>
      <c r="S227" s="12" t="str">
        <f t="shared" si="196"/>
        <v>61%</v>
      </c>
      <c r="T227" s="12">
        <f t="shared" si="197"/>
        <v>0</v>
      </c>
      <c r="U227" s="12">
        <f t="shared" si="198"/>
        <v>4</v>
      </c>
      <c r="V227" s="12">
        <f t="shared" si="199"/>
        <v>2</v>
      </c>
      <c r="W227" s="12">
        <f t="shared" si="200"/>
        <v>0</v>
      </c>
      <c r="X227" s="12">
        <f t="shared" si="201"/>
        <v>0</v>
      </c>
      <c r="Y227" s="19"/>
      <c r="Z227" s="20" t="str">
        <f t="shared" si="206"/>
        <v>Ordinary Pass</v>
      </c>
      <c r="AA227" s="12"/>
      <c r="AB227" s="47"/>
    </row>
    <row r="228" spans="2:28" ht="27" customHeight="1">
      <c r="B228" s="9">
        <v>221</v>
      </c>
      <c r="C228" s="16" t="s">
        <v>437</v>
      </c>
      <c r="D228" s="18" t="s">
        <v>438</v>
      </c>
      <c r="E228" s="15" t="s">
        <v>439</v>
      </c>
      <c r="F228" s="13">
        <v>73</v>
      </c>
      <c r="G228" s="23" t="str">
        <f t="shared" ref="G228:G235" si="207">IF(F228="-", "AB", IF(F228&gt;=75, "D", IF(F228&gt;=55, "C", IF(F228&gt;=35, "S", IF(F228&gt;=0, "F")))))</f>
        <v>C</v>
      </c>
      <c r="H228" s="13">
        <v>76</v>
      </c>
      <c r="I228" s="23" t="str">
        <f t="shared" ref="I228:I247" si="208">IF(H228="-", "AB", IF(H228&gt;=75, "D", IF(H228&gt;=55, "C", IF(H228&gt;=35, "S", IF(H228&gt;=0, "F")))))</f>
        <v>D</v>
      </c>
      <c r="J228" s="13">
        <v>78</v>
      </c>
      <c r="K228" s="23" t="str">
        <f t="shared" ref="K228:K247" si="209">IF(J228="-", "AB", IF(J228&gt;=75, "D", IF(J228&gt;=55, "C", IF(J228&gt;=35, "S", IF(J228&gt;=0, "F")))))</f>
        <v>D</v>
      </c>
      <c r="L228" s="13">
        <v>62</v>
      </c>
      <c r="M228" s="23" t="str">
        <f t="shared" ref="M228:M247" si="210">IF(L228="-", "AB", IF(L228&gt;=75, "D", IF(L228&gt;=55, "C", IF(L228&gt;=35, "S", IF(L228&gt;=0, "F")))))</f>
        <v>C</v>
      </c>
      <c r="N228" s="13">
        <v>56</v>
      </c>
      <c r="O228" s="23" t="str">
        <f t="shared" ref="O228:O247" si="211">IF(N228="-", "AB", IF(N228&gt;=75, "D", IF(N228&gt;=55, "C", IF(N228&gt;=35, "S", IF(N228&gt;=0, "F")))))</f>
        <v>C</v>
      </c>
      <c r="P228" s="13">
        <v>56</v>
      </c>
      <c r="Q228" s="23" t="str">
        <f t="shared" ref="Q228:Q247" si="212">IF(P228="-", "AB", IF(P228&gt;=75, "D", IF(P228&gt;=55, "C", IF(P228&gt;=35, "S", IF(P228&gt;=0, "F")))))</f>
        <v>C</v>
      </c>
      <c r="R228" s="27">
        <f t="shared" ref="R228:R230" si="213">SUM(F228+H228+J228+L228+N228+P228)</f>
        <v>401</v>
      </c>
      <c r="S228" s="12" t="str">
        <f t="shared" ref="S228:S247" si="214">ROUND(R228/6, 0)&amp;"%"</f>
        <v>67%</v>
      </c>
      <c r="T228" s="26">
        <f t="shared" ref="T228:T231" si="215">COUNTIF(F228:Q228, "D")</f>
        <v>2</v>
      </c>
      <c r="U228" s="12">
        <f t="shared" ref="U228:U231" si="216">COUNTIF(G228:T228, "C")</f>
        <v>4</v>
      </c>
      <c r="V228" s="12">
        <f t="shared" ref="V228:V231" si="217">COUNTIF(H228:U228, "S")</f>
        <v>0</v>
      </c>
      <c r="W228" s="12">
        <f t="shared" ref="W228:W231" si="218">COUNTIF(I228:V228, "F")</f>
        <v>0</v>
      </c>
      <c r="X228" s="28">
        <f t="shared" ref="X228:X231" si="219">COUNTIF(F228:W228, "-")</f>
        <v>0</v>
      </c>
      <c r="Y228" s="14"/>
      <c r="Z228" s="20" t="s">
        <v>10</v>
      </c>
      <c r="AA228" s="12"/>
      <c r="AB228" s="47"/>
    </row>
    <row r="229" spans="2:28" ht="27" customHeight="1">
      <c r="B229" s="9">
        <v>222</v>
      </c>
      <c r="C229" s="21" t="s">
        <v>440</v>
      </c>
      <c r="D229" s="38" t="s">
        <v>441</v>
      </c>
      <c r="E229" s="15" t="s">
        <v>442</v>
      </c>
      <c r="F229" s="13">
        <v>57</v>
      </c>
      <c r="G229" s="23" t="str">
        <f t="shared" si="207"/>
        <v>C</v>
      </c>
      <c r="H229" s="13">
        <v>62</v>
      </c>
      <c r="I229" s="23" t="str">
        <f t="shared" si="208"/>
        <v>C</v>
      </c>
      <c r="J229" s="13">
        <v>60</v>
      </c>
      <c r="K229" s="23" t="str">
        <f t="shared" si="209"/>
        <v>C</v>
      </c>
      <c r="L229" s="13">
        <v>54</v>
      </c>
      <c r="M229" s="23" t="str">
        <f t="shared" si="210"/>
        <v>S</v>
      </c>
      <c r="N229" s="13">
        <v>48</v>
      </c>
      <c r="O229" s="23" t="str">
        <f t="shared" si="211"/>
        <v>S</v>
      </c>
      <c r="P229" s="13">
        <v>47</v>
      </c>
      <c r="Q229" s="23" t="str">
        <f t="shared" si="212"/>
        <v>S</v>
      </c>
      <c r="R229" s="36">
        <f t="shared" si="213"/>
        <v>328</v>
      </c>
      <c r="S229" s="12" t="str">
        <f t="shared" si="214"/>
        <v>55%</v>
      </c>
      <c r="T229" s="31">
        <f t="shared" si="215"/>
        <v>0</v>
      </c>
      <c r="U229" s="32">
        <f t="shared" si="216"/>
        <v>3</v>
      </c>
      <c r="V229" s="32">
        <f t="shared" si="217"/>
        <v>3</v>
      </c>
      <c r="W229" s="32">
        <f t="shared" si="218"/>
        <v>0</v>
      </c>
      <c r="X229" s="33">
        <f t="shared" si="219"/>
        <v>0</v>
      </c>
      <c r="Y229" s="14"/>
      <c r="Z229" s="20" t="str">
        <f t="shared" ref="Z229:Z231" si="220">IF(X229&gt;0, "Not Completed",
   IF(T229=10, "First Class",
      IF(S229&gt;75, IF(V229&gt;0, "Ordinary Pass", "First Class"),
         IF(S229&gt;65, IF(V229&gt;0, "Ordinary Pass", "Second Class"), "none")
      )
   )
)</f>
        <v>Ordinary Pass</v>
      </c>
      <c r="AA229" s="12"/>
      <c r="AB229" s="47"/>
    </row>
    <row r="230" spans="2:28" ht="27" customHeight="1">
      <c r="B230" s="9">
        <v>223</v>
      </c>
      <c r="C230" s="16" t="s">
        <v>443</v>
      </c>
      <c r="D230" s="18" t="s">
        <v>444</v>
      </c>
      <c r="E230" s="15" t="s">
        <v>445</v>
      </c>
      <c r="F230" s="13">
        <v>49</v>
      </c>
      <c r="G230" s="23" t="str">
        <f t="shared" si="207"/>
        <v>S</v>
      </c>
      <c r="H230" s="13">
        <v>68</v>
      </c>
      <c r="I230" s="23" t="str">
        <f t="shared" si="208"/>
        <v>C</v>
      </c>
      <c r="J230" s="13">
        <v>54</v>
      </c>
      <c r="K230" s="23" t="str">
        <f t="shared" si="209"/>
        <v>S</v>
      </c>
      <c r="L230" s="13">
        <v>65</v>
      </c>
      <c r="M230" s="23" t="str">
        <f t="shared" si="210"/>
        <v>C</v>
      </c>
      <c r="N230" s="13">
        <v>49</v>
      </c>
      <c r="O230" s="23" t="str">
        <f t="shared" si="211"/>
        <v>S</v>
      </c>
      <c r="P230" s="13">
        <v>68</v>
      </c>
      <c r="Q230" s="23" t="str">
        <f t="shared" si="212"/>
        <v>C</v>
      </c>
      <c r="R230" s="36">
        <f t="shared" si="213"/>
        <v>353</v>
      </c>
      <c r="S230" s="12" t="str">
        <f t="shared" si="214"/>
        <v>59%</v>
      </c>
      <c r="T230" s="31">
        <f t="shared" si="215"/>
        <v>0</v>
      </c>
      <c r="U230" s="32">
        <f t="shared" si="216"/>
        <v>3</v>
      </c>
      <c r="V230" s="32">
        <f t="shared" si="217"/>
        <v>2</v>
      </c>
      <c r="W230" s="32">
        <f t="shared" si="218"/>
        <v>0</v>
      </c>
      <c r="X230" s="33">
        <f t="shared" si="219"/>
        <v>0</v>
      </c>
      <c r="Y230" s="14"/>
      <c r="Z230" s="20" t="str">
        <f t="shared" si="220"/>
        <v>Ordinary Pass</v>
      </c>
      <c r="AA230" s="12"/>
      <c r="AB230" s="47"/>
    </row>
    <row r="231" spans="2:28" ht="27" customHeight="1">
      <c r="B231" s="9">
        <v>224</v>
      </c>
      <c r="C231" s="16" t="s">
        <v>446</v>
      </c>
      <c r="D231" s="18" t="s">
        <v>447</v>
      </c>
      <c r="E231" s="15" t="s">
        <v>448</v>
      </c>
      <c r="F231" s="13" t="s">
        <v>14</v>
      </c>
      <c r="G231" s="23" t="str">
        <f t="shared" si="207"/>
        <v>AB</v>
      </c>
      <c r="H231" s="13" t="s">
        <v>14</v>
      </c>
      <c r="I231" s="23" t="str">
        <f t="shared" si="208"/>
        <v>AB</v>
      </c>
      <c r="J231" s="13" t="s">
        <v>14</v>
      </c>
      <c r="K231" s="23" t="str">
        <f t="shared" si="209"/>
        <v>AB</v>
      </c>
      <c r="L231" s="13" t="s">
        <v>14</v>
      </c>
      <c r="M231" s="23" t="str">
        <f t="shared" si="210"/>
        <v>AB</v>
      </c>
      <c r="N231" s="13" t="s">
        <v>14</v>
      </c>
      <c r="O231" s="23" t="str">
        <f t="shared" si="211"/>
        <v>AB</v>
      </c>
      <c r="P231" s="13" t="s">
        <v>14</v>
      </c>
      <c r="Q231" s="23" t="str">
        <f t="shared" si="212"/>
        <v>AB</v>
      </c>
      <c r="R231" s="27">
        <v>0</v>
      </c>
      <c r="S231" s="12" t="str">
        <f t="shared" si="214"/>
        <v>0%</v>
      </c>
      <c r="T231" s="31">
        <f t="shared" si="215"/>
        <v>0</v>
      </c>
      <c r="U231" s="32">
        <f t="shared" si="216"/>
        <v>0</v>
      </c>
      <c r="V231" s="32">
        <f t="shared" si="217"/>
        <v>0</v>
      </c>
      <c r="W231" s="32">
        <f t="shared" si="218"/>
        <v>0</v>
      </c>
      <c r="X231" s="33">
        <f t="shared" si="219"/>
        <v>6</v>
      </c>
      <c r="Y231" s="14"/>
      <c r="Z231" s="20" t="str">
        <f t="shared" si="220"/>
        <v>Not Completed</v>
      </c>
      <c r="AA231" s="12"/>
      <c r="AB231" s="47"/>
    </row>
    <row r="232" spans="2:28" ht="27" customHeight="1">
      <c r="B232" s="9">
        <v>225</v>
      </c>
      <c r="C232" s="16" t="s">
        <v>449</v>
      </c>
      <c r="D232" s="18" t="s">
        <v>450</v>
      </c>
      <c r="E232" s="15" t="s">
        <v>451</v>
      </c>
      <c r="F232" s="13" t="s">
        <v>14</v>
      </c>
      <c r="G232" s="23" t="str">
        <f t="shared" si="207"/>
        <v>AB</v>
      </c>
      <c r="H232" s="13" t="s">
        <v>14</v>
      </c>
      <c r="I232" s="23" t="str">
        <f t="shared" si="208"/>
        <v>AB</v>
      </c>
      <c r="J232" s="13" t="s">
        <v>14</v>
      </c>
      <c r="K232" s="23" t="str">
        <f t="shared" si="209"/>
        <v>AB</v>
      </c>
      <c r="L232" s="13" t="s">
        <v>14</v>
      </c>
      <c r="M232" s="23" t="str">
        <f t="shared" si="210"/>
        <v>AB</v>
      </c>
      <c r="N232" s="13" t="s">
        <v>14</v>
      </c>
      <c r="O232" s="23" t="str">
        <f t="shared" si="211"/>
        <v>AB</v>
      </c>
      <c r="P232" s="13" t="s">
        <v>14</v>
      </c>
      <c r="Q232" s="23" t="str">
        <f t="shared" si="212"/>
        <v>AB</v>
      </c>
      <c r="R232" s="27">
        <v>0</v>
      </c>
      <c r="S232" s="12" t="str">
        <f t="shared" si="214"/>
        <v>0%</v>
      </c>
      <c r="T232" s="12"/>
      <c r="U232" s="12"/>
      <c r="V232" s="12"/>
      <c r="W232" s="12"/>
      <c r="X232" s="12"/>
      <c r="Y232" s="14"/>
      <c r="Z232" s="20" t="s">
        <v>7</v>
      </c>
      <c r="AA232" s="12"/>
      <c r="AB232" s="47"/>
    </row>
    <row r="233" spans="2:28" ht="27" customHeight="1">
      <c r="B233" s="9">
        <v>226</v>
      </c>
      <c r="C233" s="16" t="s">
        <v>452</v>
      </c>
      <c r="D233" s="18">
        <v>200153100834</v>
      </c>
      <c r="E233" s="15" t="s">
        <v>453</v>
      </c>
      <c r="F233" s="13">
        <v>59</v>
      </c>
      <c r="G233" s="23" t="str">
        <f t="shared" si="207"/>
        <v>C</v>
      </c>
      <c r="H233" s="13">
        <v>60</v>
      </c>
      <c r="I233" s="23" t="str">
        <f t="shared" si="208"/>
        <v>C</v>
      </c>
      <c r="J233" s="13">
        <v>79</v>
      </c>
      <c r="K233" s="23" t="str">
        <f t="shared" si="209"/>
        <v>D</v>
      </c>
      <c r="L233" s="13">
        <v>51</v>
      </c>
      <c r="M233" s="23" t="str">
        <f t="shared" si="210"/>
        <v>S</v>
      </c>
      <c r="N233" s="13">
        <v>38</v>
      </c>
      <c r="O233" s="23" t="str">
        <f t="shared" si="211"/>
        <v>S</v>
      </c>
      <c r="P233" s="13">
        <v>65</v>
      </c>
      <c r="Q233" s="23" t="str">
        <f t="shared" si="212"/>
        <v>C</v>
      </c>
      <c r="R233" s="36">
        <f t="shared" ref="R233" si="221">SUM(F233+H233+J233+L233+N233+P233)</f>
        <v>352</v>
      </c>
      <c r="S233" s="12" t="str">
        <f t="shared" si="214"/>
        <v>59%</v>
      </c>
      <c r="T233" s="12"/>
      <c r="U233" s="12"/>
      <c r="V233" s="12"/>
      <c r="W233" s="12"/>
      <c r="X233" s="12"/>
      <c r="Y233" s="14"/>
      <c r="Z233" s="20" t="s">
        <v>9</v>
      </c>
      <c r="AA233" s="12"/>
      <c r="AB233" s="47"/>
    </row>
    <row r="234" spans="2:28" ht="27" customHeight="1">
      <c r="B234" s="9">
        <v>227</v>
      </c>
      <c r="C234" s="16" t="s">
        <v>454</v>
      </c>
      <c r="D234" s="18">
        <v>200370310200</v>
      </c>
      <c r="E234" s="15" t="s">
        <v>455</v>
      </c>
      <c r="F234" s="13" t="s">
        <v>14</v>
      </c>
      <c r="G234" s="23" t="str">
        <f t="shared" si="207"/>
        <v>AB</v>
      </c>
      <c r="H234" s="13" t="s">
        <v>14</v>
      </c>
      <c r="I234" s="23" t="str">
        <f t="shared" si="208"/>
        <v>AB</v>
      </c>
      <c r="J234" s="13" t="s">
        <v>14</v>
      </c>
      <c r="K234" s="23" t="str">
        <f t="shared" si="209"/>
        <v>AB</v>
      </c>
      <c r="L234" s="13" t="s">
        <v>14</v>
      </c>
      <c r="M234" s="23" t="str">
        <f t="shared" si="210"/>
        <v>AB</v>
      </c>
      <c r="N234" s="13" t="s">
        <v>14</v>
      </c>
      <c r="O234" s="23" t="str">
        <f t="shared" si="211"/>
        <v>AB</v>
      </c>
      <c r="P234" s="13" t="s">
        <v>14</v>
      </c>
      <c r="Q234" s="23" t="str">
        <f t="shared" si="212"/>
        <v>AB</v>
      </c>
      <c r="R234" s="27">
        <v>0</v>
      </c>
      <c r="S234" s="12" t="str">
        <f t="shared" si="214"/>
        <v>0%</v>
      </c>
      <c r="T234" s="12"/>
      <c r="U234" s="12"/>
      <c r="V234" s="12"/>
      <c r="W234" s="12"/>
      <c r="X234" s="12"/>
      <c r="Y234" s="14"/>
      <c r="Z234" s="20" t="s">
        <v>7</v>
      </c>
      <c r="AA234" s="12"/>
      <c r="AB234" s="47"/>
    </row>
    <row r="235" spans="2:28" ht="27" customHeight="1">
      <c r="B235" s="9">
        <v>228</v>
      </c>
      <c r="C235" s="16" t="s">
        <v>456</v>
      </c>
      <c r="D235" s="18" t="s">
        <v>457</v>
      </c>
      <c r="E235" s="15" t="s">
        <v>458</v>
      </c>
      <c r="F235" s="13">
        <v>67</v>
      </c>
      <c r="G235" s="23" t="str">
        <f t="shared" si="207"/>
        <v>C</v>
      </c>
      <c r="H235" s="13">
        <v>58</v>
      </c>
      <c r="I235" s="23" t="str">
        <f t="shared" si="208"/>
        <v>C</v>
      </c>
      <c r="J235" s="13">
        <v>70</v>
      </c>
      <c r="K235" s="23" t="str">
        <f t="shared" si="209"/>
        <v>C</v>
      </c>
      <c r="L235" s="13">
        <v>46</v>
      </c>
      <c r="M235" s="23" t="str">
        <f t="shared" si="210"/>
        <v>S</v>
      </c>
      <c r="N235" s="13">
        <v>51</v>
      </c>
      <c r="O235" s="23" t="str">
        <f t="shared" si="211"/>
        <v>S</v>
      </c>
      <c r="P235" s="13">
        <v>55</v>
      </c>
      <c r="Q235" s="34" t="str">
        <f t="shared" si="212"/>
        <v>C</v>
      </c>
      <c r="R235" s="12">
        <f t="shared" ref="R235" si="222">SUM(F235+H235+J235+L235+N235+P235)</f>
        <v>347</v>
      </c>
      <c r="S235" s="35" t="str">
        <f t="shared" si="214"/>
        <v>58%</v>
      </c>
      <c r="T235" s="12"/>
      <c r="U235" s="12"/>
      <c r="V235" s="12"/>
      <c r="W235" s="12"/>
      <c r="X235" s="12"/>
      <c r="Y235" s="14"/>
      <c r="Z235" s="20" t="s">
        <v>9</v>
      </c>
      <c r="AA235" s="12"/>
      <c r="AB235" s="47"/>
    </row>
    <row r="236" spans="2:28" ht="27" customHeight="1">
      <c r="B236" s="9">
        <v>229</v>
      </c>
      <c r="C236" s="16" t="s">
        <v>459</v>
      </c>
      <c r="D236" s="17" t="s">
        <v>460</v>
      </c>
      <c r="E236" s="15" t="s">
        <v>461</v>
      </c>
      <c r="F236" s="22">
        <v>65</v>
      </c>
      <c r="G236" s="23" t="str">
        <f>IF(F236="-", "AB", IF(F236&gt;=75, "D", IF(F236&gt;=55, "C", IF(F236&gt;=35, "S", IF(F236&gt;=0, "F")))))</f>
        <v>C</v>
      </c>
      <c r="H236" s="13">
        <v>63</v>
      </c>
      <c r="I236" s="23" t="str">
        <f t="shared" si="208"/>
        <v>C</v>
      </c>
      <c r="J236" s="13">
        <v>76</v>
      </c>
      <c r="K236" s="23" t="str">
        <f t="shared" si="209"/>
        <v>D</v>
      </c>
      <c r="L236" s="13">
        <v>55</v>
      </c>
      <c r="M236" s="23" t="str">
        <f t="shared" si="210"/>
        <v>C</v>
      </c>
      <c r="N236" s="13">
        <v>62</v>
      </c>
      <c r="O236" s="23" t="str">
        <f t="shared" si="211"/>
        <v>C</v>
      </c>
      <c r="P236" s="13">
        <v>57</v>
      </c>
      <c r="Q236" s="34" t="str">
        <f t="shared" si="212"/>
        <v>C</v>
      </c>
      <c r="R236" s="12">
        <f>SUM(F236+H236+J236+L236+N236+P236)</f>
        <v>378</v>
      </c>
      <c r="S236" s="35" t="str">
        <f t="shared" si="214"/>
        <v>63%</v>
      </c>
      <c r="T236" s="24">
        <f t="shared" ref="T236:T247" si="223">COUNTIF(F236:Q236, "D")</f>
        <v>1</v>
      </c>
      <c r="U236" s="25">
        <f t="shared" ref="U236:U247" si="224">COUNTIF(G236:T236, "C")</f>
        <v>5</v>
      </c>
      <c r="V236" s="25">
        <f t="shared" ref="V236:V247" si="225">COUNTIF(H236:U236, "S")</f>
        <v>0</v>
      </c>
      <c r="W236" s="25">
        <f t="shared" ref="W236:W247" si="226">COUNTIF(I236:V236, "F")</f>
        <v>0</v>
      </c>
      <c r="X236" s="23">
        <f t="shared" ref="X236:X247" si="227">COUNTIF(F236:W236, "-")</f>
        <v>0</v>
      </c>
      <c r="Y236" s="14"/>
      <c r="Z236" s="20" t="s">
        <v>784</v>
      </c>
      <c r="AA236" s="12"/>
      <c r="AB236" s="47"/>
    </row>
    <row r="237" spans="2:28" ht="27" customHeight="1">
      <c r="B237" s="9">
        <v>230</v>
      </c>
      <c r="C237" s="16" t="s">
        <v>462</v>
      </c>
      <c r="D237" s="18" t="s">
        <v>463</v>
      </c>
      <c r="E237" s="15" t="s">
        <v>464</v>
      </c>
      <c r="F237" s="13">
        <v>76</v>
      </c>
      <c r="G237" s="23" t="str">
        <f t="shared" ref="G237:G247" si="228">IF(F237="-", "AB", IF(F237&gt;=75, "D", IF(F237&gt;=55, "C", IF(F237&gt;=35, "S", IF(F237&gt;=0, "F")))))</f>
        <v>D</v>
      </c>
      <c r="H237" s="13">
        <v>53</v>
      </c>
      <c r="I237" s="23" t="str">
        <f t="shared" si="208"/>
        <v>S</v>
      </c>
      <c r="J237" s="13">
        <v>55</v>
      </c>
      <c r="K237" s="23" t="str">
        <f t="shared" si="209"/>
        <v>C</v>
      </c>
      <c r="L237" s="13">
        <v>38</v>
      </c>
      <c r="M237" s="23" t="str">
        <f t="shared" si="210"/>
        <v>S</v>
      </c>
      <c r="N237" s="13">
        <v>65</v>
      </c>
      <c r="O237" s="23" t="str">
        <f t="shared" si="211"/>
        <v>C</v>
      </c>
      <c r="P237" s="13">
        <v>40</v>
      </c>
      <c r="Q237" s="34" t="str">
        <f t="shared" si="212"/>
        <v>S</v>
      </c>
      <c r="R237" s="12">
        <f t="shared" ref="R237:R247" si="229">SUM(F237+H237+J237+L237+N237+P237)</f>
        <v>327</v>
      </c>
      <c r="S237" s="35" t="str">
        <f t="shared" si="214"/>
        <v>55%</v>
      </c>
      <c r="T237" s="26">
        <f t="shared" si="223"/>
        <v>1</v>
      </c>
      <c r="U237" s="12">
        <f t="shared" si="224"/>
        <v>2</v>
      </c>
      <c r="V237" s="12">
        <f t="shared" si="225"/>
        <v>3</v>
      </c>
      <c r="W237" s="12">
        <f t="shared" si="226"/>
        <v>0</v>
      </c>
      <c r="X237" s="28">
        <f t="shared" si="227"/>
        <v>0</v>
      </c>
      <c r="Y237" s="14"/>
      <c r="Z237" s="20" t="str">
        <f t="shared" ref="Z237:Z247" si="230">IF(X237&gt;0, "Not Completed",
   IF(T237=10, "First Class",
      IF(S237&gt;75, IF(V237&gt;0, "Ordinary Pass", "First Class"),
         IF(S237&gt;65, IF(V237&gt;0, "Ordinary Pass", "Second Class"), "none")
      )
   )
)</f>
        <v>Ordinary Pass</v>
      </c>
      <c r="AA237" s="12"/>
      <c r="AB237" s="47"/>
    </row>
    <row r="238" spans="2:28" ht="27" customHeight="1">
      <c r="B238" s="9">
        <v>231</v>
      </c>
      <c r="C238" s="16" t="s">
        <v>465</v>
      </c>
      <c r="D238" s="18" t="s">
        <v>466</v>
      </c>
      <c r="E238" s="15" t="s">
        <v>467</v>
      </c>
      <c r="F238" s="13">
        <v>58</v>
      </c>
      <c r="G238" s="23" t="str">
        <f t="shared" si="228"/>
        <v>C</v>
      </c>
      <c r="H238" s="13">
        <v>65</v>
      </c>
      <c r="I238" s="23" t="str">
        <f t="shared" si="208"/>
        <v>C</v>
      </c>
      <c r="J238" s="13">
        <v>97</v>
      </c>
      <c r="K238" s="23" t="str">
        <f t="shared" si="209"/>
        <v>D</v>
      </c>
      <c r="L238" s="13">
        <v>65</v>
      </c>
      <c r="M238" s="23" t="str">
        <f t="shared" si="210"/>
        <v>C</v>
      </c>
      <c r="N238" s="13">
        <v>77</v>
      </c>
      <c r="O238" s="23" t="str">
        <f t="shared" si="211"/>
        <v>D</v>
      </c>
      <c r="P238" s="13">
        <v>68</v>
      </c>
      <c r="Q238" s="34" t="str">
        <f t="shared" si="212"/>
        <v>C</v>
      </c>
      <c r="R238" s="12">
        <f t="shared" si="229"/>
        <v>430</v>
      </c>
      <c r="S238" s="35" t="str">
        <f t="shared" si="214"/>
        <v>72%</v>
      </c>
      <c r="T238" s="26">
        <f t="shared" si="223"/>
        <v>2</v>
      </c>
      <c r="U238" s="12">
        <f t="shared" si="224"/>
        <v>4</v>
      </c>
      <c r="V238" s="12">
        <f t="shared" si="225"/>
        <v>0</v>
      </c>
      <c r="W238" s="12">
        <f t="shared" si="226"/>
        <v>0</v>
      </c>
      <c r="X238" s="28">
        <f t="shared" si="227"/>
        <v>0</v>
      </c>
      <c r="Y238" s="14"/>
      <c r="Z238" s="20" t="s">
        <v>10</v>
      </c>
      <c r="AA238" s="12"/>
      <c r="AB238" s="47"/>
    </row>
    <row r="239" spans="2:28" ht="27" customHeight="1">
      <c r="B239" s="9">
        <v>232</v>
      </c>
      <c r="C239" s="16" t="s">
        <v>468</v>
      </c>
      <c r="D239" s="18" t="s">
        <v>469</v>
      </c>
      <c r="E239" s="15" t="s">
        <v>470</v>
      </c>
      <c r="F239" s="13">
        <v>39</v>
      </c>
      <c r="G239" s="23" t="str">
        <f t="shared" si="228"/>
        <v>S</v>
      </c>
      <c r="H239" s="13">
        <v>35</v>
      </c>
      <c r="I239" s="23" t="str">
        <f t="shared" si="208"/>
        <v>S</v>
      </c>
      <c r="J239" s="13">
        <v>49</v>
      </c>
      <c r="K239" s="23" t="str">
        <f t="shared" si="209"/>
        <v>S</v>
      </c>
      <c r="L239" s="13">
        <v>43</v>
      </c>
      <c r="M239" s="23" t="str">
        <f t="shared" si="210"/>
        <v>S</v>
      </c>
      <c r="N239" s="13">
        <v>51</v>
      </c>
      <c r="O239" s="23" t="str">
        <f t="shared" si="211"/>
        <v>S</v>
      </c>
      <c r="P239" s="13">
        <v>53</v>
      </c>
      <c r="Q239" s="34" t="str">
        <f t="shared" si="212"/>
        <v>S</v>
      </c>
      <c r="R239" s="12">
        <f t="shared" si="229"/>
        <v>270</v>
      </c>
      <c r="S239" s="35" t="str">
        <f t="shared" si="214"/>
        <v>45%</v>
      </c>
      <c r="T239" s="26">
        <f t="shared" si="223"/>
        <v>0</v>
      </c>
      <c r="U239" s="12">
        <f t="shared" si="224"/>
        <v>0</v>
      </c>
      <c r="V239" s="12">
        <f t="shared" si="225"/>
        <v>5</v>
      </c>
      <c r="W239" s="12">
        <f t="shared" si="226"/>
        <v>0</v>
      </c>
      <c r="X239" s="28">
        <f t="shared" si="227"/>
        <v>0</v>
      </c>
      <c r="Y239" s="14"/>
      <c r="Z239" s="20" t="str">
        <f t="shared" si="230"/>
        <v>Ordinary Pass</v>
      </c>
      <c r="AA239" s="12"/>
      <c r="AB239" s="47"/>
    </row>
    <row r="240" spans="2:28" ht="27" customHeight="1">
      <c r="B240" s="9">
        <v>233</v>
      </c>
      <c r="C240" s="16" t="s">
        <v>471</v>
      </c>
      <c r="D240" s="18" t="s">
        <v>472</v>
      </c>
      <c r="E240" s="15" t="s">
        <v>473</v>
      </c>
      <c r="F240" s="13">
        <v>58</v>
      </c>
      <c r="G240" s="23" t="str">
        <f t="shared" si="228"/>
        <v>C</v>
      </c>
      <c r="H240" s="13">
        <v>53</v>
      </c>
      <c r="I240" s="23" t="str">
        <f t="shared" si="208"/>
        <v>S</v>
      </c>
      <c r="J240" s="13">
        <v>82</v>
      </c>
      <c r="K240" s="23" t="str">
        <f t="shared" si="209"/>
        <v>D</v>
      </c>
      <c r="L240" s="13">
        <v>47</v>
      </c>
      <c r="M240" s="23" t="str">
        <f t="shared" si="210"/>
        <v>S</v>
      </c>
      <c r="N240" s="13">
        <v>63</v>
      </c>
      <c r="O240" s="23" t="str">
        <f t="shared" si="211"/>
        <v>C</v>
      </c>
      <c r="P240" s="13">
        <v>43</v>
      </c>
      <c r="Q240" s="34" t="str">
        <f t="shared" si="212"/>
        <v>S</v>
      </c>
      <c r="R240" s="12">
        <f t="shared" si="229"/>
        <v>346</v>
      </c>
      <c r="S240" s="35" t="str">
        <f t="shared" si="214"/>
        <v>58%</v>
      </c>
      <c r="T240" s="26">
        <f t="shared" si="223"/>
        <v>1</v>
      </c>
      <c r="U240" s="12">
        <f t="shared" si="224"/>
        <v>2</v>
      </c>
      <c r="V240" s="12">
        <f t="shared" si="225"/>
        <v>3</v>
      </c>
      <c r="W240" s="12">
        <f t="shared" si="226"/>
        <v>0</v>
      </c>
      <c r="X240" s="28">
        <f t="shared" si="227"/>
        <v>0</v>
      </c>
      <c r="Y240" s="14"/>
      <c r="Z240" s="20" t="str">
        <f t="shared" si="230"/>
        <v>Ordinary Pass</v>
      </c>
      <c r="AA240" s="12"/>
      <c r="AB240" s="47"/>
    </row>
    <row r="241" spans="2:28" ht="27" customHeight="1">
      <c r="B241" s="9">
        <v>234</v>
      </c>
      <c r="C241" s="16" t="s">
        <v>474</v>
      </c>
      <c r="D241" s="18">
        <v>199150502630</v>
      </c>
      <c r="E241" s="15" t="s">
        <v>475</v>
      </c>
      <c r="F241" s="13">
        <v>85</v>
      </c>
      <c r="G241" s="23" t="str">
        <f t="shared" si="228"/>
        <v>D</v>
      </c>
      <c r="H241" s="13">
        <v>79</v>
      </c>
      <c r="I241" s="23" t="str">
        <f t="shared" si="208"/>
        <v>D</v>
      </c>
      <c r="J241" s="13">
        <v>97</v>
      </c>
      <c r="K241" s="23" t="str">
        <f t="shared" si="209"/>
        <v>D</v>
      </c>
      <c r="L241" s="13">
        <v>70</v>
      </c>
      <c r="M241" s="23" t="str">
        <f t="shared" si="210"/>
        <v>C</v>
      </c>
      <c r="N241" s="13">
        <v>78</v>
      </c>
      <c r="O241" s="23" t="str">
        <f t="shared" si="211"/>
        <v>D</v>
      </c>
      <c r="P241" s="13">
        <v>72</v>
      </c>
      <c r="Q241" s="34" t="str">
        <f t="shared" si="212"/>
        <v>C</v>
      </c>
      <c r="R241" s="12">
        <f t="shared" si="229"/>
        <v>481</v>
      </c>
      <c r="S241" s="35" t="str">
        <f t="shared" si="214"/>
        <v>80%</v>
      </c>
      <c r="T241" s="26">
        <f t="shared" si="223"/>
        <v>4</v>
      </c>
      <c r="U241" s="12">
        <f t="shared" si="224"/>
        <v>2</v>
      </c>
      <c r="V241" s="12">
        <f t="shared" si="225"/>
        <v>0</v>
      </c>
      <c r="W241" s="12">
        <f t="shared" si="226"/>
        <v>0</v>
      </c>
      <c r="X241" s="28">
        <f t="shared" si="227"/>
        <v>0</v>
      </c>
      <c r="Y241" s="14"/>
      <c r="Z241" s="20" t="str">
        <f t="shared" si="230"/>
        <v>First Class</v>
      </c>
      <c r="AA241" s="12"/>
      <c r="AB241" s="47"/>
    </row>
    <row r="242" spans="2:28" ht="27" customHeight="1">
      <c r="B242" s="9">
        <v>235</v>
      </c>
      <c r="C242" s="16" t="s">
        <v>476</v>
      </c>
      <c r="D242" s="18" t="s">
        <v>477</v>
      </c>
      <c r="E242" s="15" t="s">
        <v>478</v>
      </c>
      <c r="F242" s="13">
        <v>75</v>
      </c>
      <c r="G242" s="23" t="str">
        <f t="shared" si="228"/>
        <v>D</v>
      </c>
      <c r="H242" s="13">
        <v>70</v>
      </c>
      <c r="I242" s="23" t="str">
        <f t="shared" si="208"/>
        <v>C</v>
      </c>
      <c r="J242" s="13">
        <v>72</v>
      </c>
      <c r="K242" s="23" t="str">
        <f t="shared" si="209"/>
        <v>C</v>
      </c>
      <c r="L242" s="13">
        <v>51</v>
      </c>
      <c r="M242" s="23" t="str">
        <f t="shared" si="210"/>
        <v>S</v>
      </c>
      <c r="N242" s="13">
        <v>64</v>
      </c>
      <c r="O242" s="23" t="str">
        <f t="shared" si="211"/>
        <v>C</v>
      </c>
      <c r="P242" s="13">
        <v>57</v>
      </c>
      <c r="Q242" s="34" t="str">
        <f t="shared" si="212"/>
        <v>C</v>
      </c>
      <c r="R242" s="12">
        <f t="shared" si="229"/>
        <v>389</v>
      </c>
      <c r="S242" s="35" t="str">
        <f t="shared" si="214"/>
        <v>65%</v>
      </c>
      <c r="T242" s="26">
        <f t="shared" si="223"/>
        <v>1</v>
      </c>
      <c r="U242" s="12">
        <f t="shared" si="224"/>
        <v>4</v>
      </c>
      <c r="V242" s="12">
        <f t="shared" si="225"/>
        <v>1</v>
      </c>
      <c r="W242" s="12">
        <f t="shared" si="226"/>
        <v>0</v>
      </c>
      <c r="X242" s="28">
        <f t="shared" si="227"/>
        <v>0</v>
      </c>
      <c r="Y242" s="14"/>
      <c r="Z242" s="20" t="str">
        <f t="shared" si="230"/>
        <v>Ordinary Pass</v>
      </c>
      <c r="AA242" s="12"/>
      <c r="AB242" s="47"/>
    </row>
    <row r="243" spans="2:28" ht="27" customHeight="1">
      <c r="B243" s="9">
        <v>236</v>
      </c>
      <c r="C243" s="16" t="s">
        <v>479</v>
      </c>
      <c r="D243" s="18" t="s">
        <v>480</v>
      </c>
      <c r="E243" s="15" t="s">
        <v>481</v>
      </c>
      <c r="F243" s="13">
        <v>46</v>
      </c>
      <c r="G243" s="23" t="str">
        <f t="shared" si="228"/>
        <v>S</v>
      </c>
      <c r="H243" s="13">
        <v>45</v>
      </c>
      <c r="I243" s="23" t="str">
        <f t="shared" si="208"/>
        <v>S</v>
      </c>
      <c r="J243" s="13">
        <v>76</v>
      </c>
      <c r="K243" s="23" t="str">
        <f t="shared" si="209"/>
        <v>D</v>
      </c>
      <c r="L243" s="13">
        <v>44</v>
      </c>
      <c r="M243" s="23" t="str">
        <f t="shared" si="210"/>
        <v>S</v>
      </c>
      <c r="N243" s="13">
        <v>63</v>
      </c>
      <c r="O243" s="23" t="str">
        <f t="shared" si="211"/>
        <v>C</v>
      </c>
      <c r="P243" s="13">
        <v>42</v>
      </c>
      <c r="Q243" s="34" t="str">
        <f t="shared" si="212"/>
        <v>S</v>
      </c>
      <c r="R243" s="12">
        <f t="shared" si="229"/>
        <v>316</v>
      </c>
      <c r="S243" s="35" t="str">
        <f t="shared" si="214"/>
        <v>53%</v>
      </c>
      <c r="T243" s="26">
        <f t="shared" si="223"/>
        <v>1</v>
      </c>
      <c r="U243" s="12">
        <f t="shared" si="224"/>
        <v>1</v>
      </c>
      <c r="V243" s="12">
        <f t="shared" si="225"/>
        <v>3</v>
      </c>
      <c r="W243" s="12">
        <f t="shared" si="226"/>
        <v>0</v>
      </c>
      <c r="X243" s="28">
        <f t="shared" si="227"/>
        <v>0</v>
      </c>
      <c r="Y243" s="14"/>
      <c r="Z243" s="20" t="str">
        <f t="shared" si="230"/>
        <v>Ordinary Pass</v>
      </c>
      <c r="AA243" s="12"/>
      <c r="AB243" s="47"/>
    </row>
    <row r="244" spans="2:28" ht="27" customHeight="1">
      <c r="B244" s="9">
        <v>237</v>
      </c>
      <c r="C244" s="16" t="s">
        <v>482</v>
      </c>
      <c r="D244" s="18">
        <v>198378501122</v>
      </c>
      <c r="E244" s="15" t="s">
        <v>483</v>
      </c>
      <c r="F244" s="13">
        <v>70</v>
      </c>
      <c r="G244" s="23" t="str">
        <f t="shared" si="228"/>
        <v>C</v>
      </c>
      <c r="H244" s="13">
        <v>58</v>
      </c>
      <c r="I244" s="23" t="str">
        <f t="shared" si="208"/>
        <v>C</v>
      </c>
      <c r="J244" s="13">
        <v>60</v>
      </c>
      <c r="K244" s="23" t="str">
        <f t="shared" si="209"/>
        <v>C</v>
      </c>
      <c r="L244" s="13">
        <v>51</v>
      </c>
      <c r="M244" s="23" t="str">
        <f t="shared" si="210"/>
        <v>S</v>
      </c>
      <c r="N244" s="13">
        <v>55</v>
      </c>
      <c r="O244" s="23" t="str">
        <f t="shared" si="211"/>
        <v>C</v>
      </c>
      <c r="P244" s="13">
        <v>43</v>
      </c>
      <c r="Q244" s="34" t="str">
        <f t="shared" si="212"/>
        <v>S</v>
      </c>
      <c r="R244" s="12">
        <f t="shared" si="229"/>
        <v>337</v>
      </c>
      <c r="S244" s="35" t="str">
        <f t="shared" si="214"/>
        <v>56%</v>
      </c>
      <c r="T244" s="26">
        <f t="shared" si="223"/>
        <v>0</v>
      </c>
      <c r="U244" s="12">
        <f t="shared" si="224"/>
        <v>4</v>
      </c>
      <c r="V244" s="12">
        <f t="shared" si="225"/>
        <v>2</v>
      </c>
      <c r="W244" s="12">
        <f t="shared" si="226"/>
        <v>0</v>
      </c>
      <c r="X244" s="28">
        <f t="shared" si="227"/>
        <v>0</v>
      </c>
      <c r="Y244" s="14"/>
      <c r="Z244" s="20" t="str">
        <f t="shared" si="230"/>
        <v>Ordinary Pass</v>
      </c>
      <c r="AA244" s="12"/>
      <c r="AB244" s="47"/>
    </row>
    <row r="245" spans="2:28" ht="27" customHeight="1">
      <c r="B245" s="9">
        <v>238</v>
      </c>
      <c r="C245" s="16" t="s">
        <v>484</v>
      </c>
      <c r="D245" s="18" t="s">
        <v>485</v>
      </c>
      <c r="E245" s="15" t="s">
        <v>486</v>
      </c>
      <c r="F245" s="13">
        <v>53</v>
      </c>
      <c r="G245" s="23" t="str">
        <f t="shared" si="228"/>
        <v>S</v>
      </c>
      <c r="H245" s="13">
        <v>59</v>
      </c>
      <c r="I245" s="23" t="str">
        <f t="shared" si="208"/>
        <v>C</v>
      </c>
      <c r="J245" s="13">
        <v>48</v>
      </c>
      <c r="K245" s="23" t="str">
        <f t="shared" si="209"/>
        <v>S</v>
      </c>
      <c r="L245" s="13">
        <v>36</v>
      </c>
      <c r="M245" s="23" t="str">
        <f t="shared" si="210"/>
        <v>S</v>
      </c>
      <c r="N245" s="13">
        <v>65</v>
      </c>
      <c r="O245" s="23" t="str">
        <f t="shared" si="211"/>
        <v>C</v>
      </c>
      <c r="P245" s="13">
        <v>37</v>
      </c>
      <c r="Q245" s="34" t="str">
        <f t="shared" si="212"/>
        <v>S</v>
      </c>
      <c r="R245" s="12">
        <f t="shared" si="229"/>
        <v>298</v>
      </c>
      <c r="S245" s="35" t="str">
        <f t="shared" si="214"/>
        <v>50%</v>
      </c>
      <c r="T245" s="26">
        <f t="shared" si="223"/>
        <v>0</v>
      </c>
      <c r="U245" s="12">
        <f t="shared" si="224"/>
        <v>2</v>
      </c>
      <c r="V245" s="12">
        <f t="shared" si="225"/>
        <v>3</v>
      </c>
      <c r="W245" s="12">
        <f t="shared" si="226"/>
        <v>0</v>
      </c>
      <c r="X245" s="28">
        <f t="shared" si="227"/>
        <v>0</v>
      </c>
      <c r="Y245" s="14"/>
      <c r="Z245" s="20" t="str">
        <f t="shared" si="230"/>
        <v>Ordinary Pass</v>
      </c>
      <c r="AA245" s="12"/>
      <c r="AB245" s="47"/>
    </row>
    <row r="246" spans="2:28" ht="27" customHeight="1">
      <c r="B246" s="9">
        <v>239</v>
      </c>
      <c r="C246" s="16" t="s">
        <v>487</v>
      </c>
      <c r="D246" s="18" t="s">
        <v>488</v>
      </c>
      <c r="E246" s="15" t="s">
        <v>489</v>
      </c>
      <c r="F246" s="13">
        <v>67</v>
      </c>
      <c r="G246" s="23" t="str">
        <f t="shared" si="228"/>
        <v>C</v>
      </c>
      <c r="H246" s="13">
        <v>59</v>
      </c>
      <c r="I246" s="23" t="str">
        <f t="shared" si="208"/>
        <v>C</v>
      </c>
      <c r="J246" s="13">
        <v>72</v>
      </c>
      <c r="K246" s="23" t="str">
        <f t="shared" si="209"/>
        <v>C</v>
      </c>
      <c r="L246" s="13">
        <v>43</v>
      </c>
      <c r="M246" s="23" t="str">
        <f t="shared" si="210"/>
        <v>S</v>
      </c>
      <c r="N246" s="13">
        <v>63</v>
      </c>
      <c r="O246" s="23" t="str">
        <f t="shared" si="211"/>
        <v>C</v>
      </c>
      <c r="P246" s="13">
        <v>36</v>
      </c>
      <c r="Q246" s="34" t="str">
        <f t="shared" si="212"/>
        <v>S</v>
      </c>
      <c r="R246" s="12">
        <f t="shared" si="229"/>
        <v>340</v>
      </c>
      <c r="S246" s="35" t="str">
        <f t="shared" si="214"/>
        <v>57%</v>
      </c>
      <c r="T246" s="26">
        <f t="shared" si="223"/>
        <v>0</v>
      </c>
      <c r="U246" s="12">
        <f t="shared" si="224"/>
        <v>4</v>
      </c>
      <c r="V246" s="12">
        <f t="shared" si="225"/>
        <v>2</v>
      </c>
      <c r="W246" s="12">
        <f t="shared" si="226"/>
        <v>0</v>
      </c>
      <c r="X246" s="28">
        <f t="shared" si="227"/>
        <v>0</v>
      </c>
      <c r="Y246" s="14"/>
      <c r="Z246" s="20" t="str">
        <f t="shared" si="230"/>
        <v>Ordinary Pass</v>
      </c>
      <c r="AA246" s="12"/>
      <c r="AB246" s="47"/>
    </row>
    <row r="247" spans="2:28" ht="27" customHeight="1">
      <c r="B247" s="9">
        <v>240</v>
      </c>
      <c r="C247" s="16" t="s">
        <v>490</v>
      </c>
      <c r="D247" s="18">
        <v>200163600045</v>
      </c>
      <c r="E247" s="15" t="s">
        <v>491</v>
      </c>
      <c r="F247" s="13">
        <v>72</v>
      </c>
      <c r="G247" s="23" t="str">
        <f t="shared" si="228"/>
        <v>C</v>
      </c>
      <c r="H247" s="13">
        <v>78</v>
      </c>
      <c r="I247" s="23" t="str">
        <f t="shared" si="208"/>
        <v>D</v>
      </c>
      <c r="J247" s="13">
        <v>68</v>
      </c>
      <c r="K247" s="23" t="str">
        <f t="shared" si="209"/>
        <v>C</v>
      </c>
      <c r="L247" s="13">
        <v>47</v>
      </c>
      <c r="M247" s="23" t="str">
        <f t="shared" si="210"/>
        <v>S</v>
      </c>
      <c r="N247" s="13">
        <v>69</v>
      </c>
      <c r="O247" s="23" t="str">
        <f t="shared" si="211"/>
        <v>C</v>
      </c>
      <c r="P247" s="13">
        <v>53</v>
      </c>
      <c r="Q247" s="34" t="str">
        <f t="shared" si="212"/>
        <v>S</v>
      </c>
      <c r="R247" s="12">
        <f t="shared" si="229"/>
        <v>387</v>
      </c>
      <c r="S247" s="35" t="str">
        <f t="shared" si="214"/>
        <v>65%</v>
      </c>
      <c r="T247" s="26">
        <f t="shared" si="223"/>
        <v>1</v>
      </c>
      <c r="U247" s="12">
        <f t="shared" si="224"/>
        <v>3</v>
      </c>
      <c r="V247" s="12">
        <f t="shared" si="225"/>
        <v>2</v>
      </c>
      <c r="W247" s="12">
        <f t="shared" si="226"/>
        <v>0</v>
      </c>
      <c r="X247" s="28">
        <f t="shared" si="227"/>
        <v>0</v>
      </c>
      <c r="Y247" s="14"/>
      <c r="Z247" s="20" t="str">
        <f t="shared" si="230"/>
        <v>Ordinary Pass</v>
      </c>
      <c r="AA247" s="12"/>
      <c r="AB247" s="47"/>
    </row>
    <row r="248" spans="2:28" ht="27" customHeight="1">
      <c r="B248" s="9">
        <v>241</v>
      </c>
      <c r="C248" s="16" t="s">
        <v>492</v>
      </c>
      <c r="D248" s="18" t="s">
        <v>493</v>
      </c>
      <c r="E248" s="15" t="s">
        <v>494</v>
      </c>
      <c r="F248" s="12" t="s">
        <v>14</v>
      </c>
      <c r="G248" s="12" t="str">
        <f t="shared" ref="G248:G267" si="231">IF(F248="-", "AB", IF(F248&gt;=75, "D", IF(F248&gt;=55, "C", IF(F248&gt;=35, "S", IF(F248&gt;=0, "F")))))</f>
        <v>AB</v>
      </c>
      <c r="H248" s="12" t="s">
        <v>14</v>
      </c>
      <c r="I248" s="12" t="str">
        <f t="shared" ref="I248:I267" si="232">IF(H248="-", "AB", IF(H248&gt;=75, "D", IF(H248&gt;=55, "C", IF(H248&gt;=35, "S", IF(H248&gt;=0, "F")))))</f>
        <v>AB</v>
      </c>
      <c r="J248" s="12" t="s">
        <v>14</v>
      </c>
      <c r="K248" s="12" t="str">
        <f t="shared" ref="K248:K267" si="233">IF(J248="-", "AB", IF(J248&gt;=75, "D", IF(J248&gt;=55, "C", IF(J248&gt;=35, "S", IF(J248&gt;=0, "F")))))</f>
        <v>AB</v>
      </c>
      <c r="L248" s="12" t="s">
        <v>14</v>
      </c>
      <c r="M248" s="12" t="str">
        <f t="shared" ref="M248:M267" si="234">IF(L248="-", "AB", IF(L248&gt;=75, "D", IF(L248&gt;=55, "C", IF(L248&gt;=35, "S", IF(L248&gt;=0, "F")))))</f>
        <v>AB</v>
      </c>
      <c r="N248" s="12" t="s">
        <v>14</v>
      </c>
      <c r="O248" s="12" t="str">
        <f t="shared" ref="O248:O267" si="235">IF(N248="-", "AB", IF(N248&gt;=75, "D", IF(N248&gt;=55, "C", IF(N248&gt;=35, "S", IF(N248&gt;=0, "F")))))</f>
        <v>AB</v>
      </c>
      <c r="P248" s="12" t="s">
        <v>14</v>
      </c>
      <c r="Q248" s="12" t="str">
        <f t="shared" ref="Q248:Q267" si="236">IF(P248="-", "AB", IF(P248&gt;=75, "D", IF(P248&gt;=55, "C", IF(P248&gt;=35, "S", IF(P248&gt;=0, "F")))))</f>
        <v>AB</v>
      </c>
      <c r="R248" s="12">
        <v>0</v>
      </c>
      <c r="S248" s="12" t="str">
        <f t="shared" ref="S248:S267" si="237">ROUND(R248/6, 0)&amp;"%"</f>
        <v>0%</v>
      </c>
      <c r="T248" s="12">
        <f t="shared" ref="T248:T267" si="238">COUNTIF(F248:Q248, "D")</f>
        <v>0</v>
      </c>
      <c r="U248" s="12">
        <f t="shared" ref="U248:U267" si="239">COUNTIF(G248:T248, "C")</f>
        <v>0</v>
      </c>
      <c r="V248" s="12">
        <f t="shared" ref="V248:V267" si="240">COUNTIF(H248:U248, "S")</f>
        <v>0</v>
      </c>
      <c r="W248" s="12">
        <f t="shared" ref="W248:W267" si="241">COUNTIF(I248:V248, "F")</f>
        <v>0</v>
      </c>
      <c r="X248" s="12">
        <f t="shared" ref="X248:X267" si="242">COUNTIF(F248:W248, "-")</f>
        <v>6</v>
      </c>
      <c r="Y248" s="19"/>
      <c r="Z248" s="20" t="s">
        <v>7</v>
      </c>
      <c r="AA248" s="12"/>
      <c r="AB248" s="47"/>
    </row>
    <row r="249" spans="2:28" ht="27" customHeight="1">
      <c r="B249" s="9">
        <v>242</v>
      </c>
      <c r="C249" s="16" t="s">
        <v>495</v>
      </c>
      <c r="D249" s="18" t="s">
        <v>496</v>
      </c>
      <c r="E249" s="15" t="s">
        <v>497</v>
      </c>
      <c r="F249" s="12">
        <v>30</v>
      </c>
      <c r="G249" s="12" t="str">
        <f t="shared" si="231"/>
        <v>F</v>
      </c>
      <c r="H249" s="12">
        <v>46</v>
      </c>
      <c r="I249" s="12" t="str">
        <f t="shared" si="232"/>
        <v>S</v>
      </c>
      <c r="J249" s="12">
        <v>36</v>
      </c>
      <c r="K249" s="12" t="str">
        <f t="shared" si="233"/>
        <v>S</v>
      </c>
      <c r="L249" s="12">
        <v>37</v>
      </c>
      <c r="M249" s="12" t="str">
        <f t="shared" si="234"/>
        <v>S</v>
      </c>
      <c r="N249" s="12">
        <v>58</v>
      </c>
      <c r="O249" s="12" t="str">
        <f t="shared" si="235"/>
        <v>C</v>
      </c>
      <c r="P249" s="12">
        <v>26</v>
      </c>
      <c r="Q249" s="12" t="str">
        <f t="shared" si="236"/>
        <v>F</v>
      </c>
      <c r="R249" s="12">
        <f t="shared" ref="R249:R253" si="243">SUM(F249+H249+J249+L249+N249+P249)</f>
        <v>233</v>
      </c>
      <c r="S249" s="12" t="str">
        <f t="shared" si="237"/>
        <v>39%</v>
      </c>
      <c r="T249" s="12">
        <f t="shared" si="238"/>
        <v>0</v>
      </c>
      <c r="U249" s="12">
        <f t="shared" si="239"/>
        <v>1</v>
      </c>
      <c r="V249" s="12">
        <f t="shared" si="240"/>
        <v>3</v>
      </c>
      <c r="W249" s="12">
        <f t="shared" si="241"/>
        <v>1</v>
      </c>
      <c r="X249" s="12">
        <f t="shared" si="242"/>
        <v>0</v>
      </c>
      <c r="Y249" s="19"/>
      <c r="Z249" s="20" t="s">
        <v>6</v>
      </c>
      <c r="AA249" s="12" t="s">
        <v>498</v>
      </c>
      <c r="AB249" s="47"/>
    </row>
    <row r="250" spans="2:28" ht="27" customHeight="1">
      <c r="B250" s="9">
        <v>243</v>
      </c>
      <c r="C250" s="16" t="s">
        <v>499</v>
      </c>
      <c r="D250" s="18" t="s">
        <v>500</v>
      </c>
      <c r="E250" s="15" t="s">
        <v>501</v>
      </c>
      <c r="F250" s="12">
        <v>52</v>
      </c>
      <c r="G250" s="12" t="str">
        <f t="shared" si="231"/>
        <v>S</v>
      </c>
      <c r="H250" s="12">
        <v>50</v>
      </c>
      <c r="I250" s="12" t="str">
        <f t="shared" si="232"/>
        <v>S</v>
      </c>
      <c r="J250" s="12">
        <v>61</v>
      </c>
      <c r="K250" s="12" t="str">
        <f t="shared" si="233"/>
        <v>C</v>
      </c>
      <c r="L250" s="12">
        <v>37</v>
      </c>
      <c r="M250" s="12" t="str">
        <f t="shared" si="234"/>
        <v>S</v>
      </c>
      <c r="N250" s="12">
        <v>59</v>
      </c>
      <c r="O250" s="12" t="str">
        <f t="shared" si="235"/>
        <v>C</v>
      </c>
      <c r="P250" s="12">
        <v>55</v>
      </c>
      <c r="Q250" s="12" t="str">
        <f t="shared" si="236"/>
        <v>C</v>
      </c>
      <c r="R250" s="12">
        <f t="shared" si="243"/>
        <v>314</v>
      </c>
      <c r="S250" s="12" t="str">
        <f t="shared" si="237"/>
        <v>52%</v>
      </c>
      <c r="T250" s="12">
        <f t="shared" si="238"/>
        <v>0</v>
      </c>
      <c r="U250" s="12">
        <f t="shared" si="239"/>
        <v>3</v>
      </c>
      <c r="V250" s="12">
        <f t="shared" si="240"/>
        <v>2</v>
      </c>
      <c r="W250" s="12">
        <f t="shared" si="241"/>
        <v>0</v>
      </c>
      <c r="X250" s="12">
        <f t="shared" si="242"/>
        <v>0</v>
      </c>
      <c r="Y250" s="19"/>
      <c r="Z250" s="20" t="str">
        <f t="shared" ref="Z250:Z267" si="244">IF(X250&gt;0, "Not Completed",
   IF(T250=10, "First Class",
      IF(S250&gt;75, IF(V250&gt;0, "Ordinary Pass", "First Class"),
         IF(S250&gt;65, IF(V250&gt;0, "Ordinary Pass", "Second Class"), "none")
      )
   )
)</f>
        <v>Ordinary Pass</v>
      </c>
      <c r="AA250" s="12"/>
      <c r="AB250" s="47"/>
    </row>
    <row r="251" spans="2:28" ht="27" customHeight="1">
      <c r="B251" s="9">
        <v>244</v>
      </c>
      <c r="C251" s="16" t="s">
        <v>502</v>
      </c>
      <c r="D251" s="18" t="s">
        <v>503</v>
      </c>
      <c r="E251" s="15" t="s">
        <v>504</v>
      </c>
      <c r="F251" s="12">
        <v>71</v>
      </c>
      <c r="G251" s="12" t="str">
        <f t="shared" si="231"/>
        <v>C</v>
      </c>
      <c r="H251" s="12">
        <v>64</v>
      </c>
      <c r="I251" s="12" t="str">
        <f t="shared" si="232"/>
        <v>C</v>
      </c>
      <c r="J251" s="12">
        <v>70</v>
      </c>
      <c r="K251" s="12" t="str">
        <f t="shared" si="233"/>
        <v>C</v>
      </c>
      <c r="L251" s="12">
        <v>36</v>
      </c>
      <c r="M251" s="12" t="str">
        <f t="shared" si="234"/>
        <v>S</v>
      </c>
      <c r="N251" s="12">
        <v>64</v>
      </c>
      <c r="O251" s="12" t="str">
        <f t="shared" si="235"/>
        <v>C</v>
      </c>
      <c r="P251" s="12">
        <v>49</v>
      </c>
      <c r="Q251" s="12" t="str">
        <f t="shared" si="236"/>
        <v>S</v>
      </c>
      <c r="R251" s="12">
        <f t="shared" si="243"/>
        <v>354</v>
      </c>
      <c r="S251" s="12" t="str">
        <f t="shared" si="237"/>
        <v>59%</v>
      </c>
      <c r="T251" s="12">
        <f t="shared" si="238"/>
        <v>0</v>
      </c>
      <c r="U251" s="12">
        <f t="shared" si="239"/>
        <v>4</v>
      </c>
      <c r="V251" s="12">
        <f t="shared" si="240"/>
        <v>2</v>
      </c>
      <c r="W251" s="12">
        <f t="shared" si="241"/>
        <v>0</v>
      </c>
      <c r="X251" s="12">
        <f t="shared" si="242"/>
        <v>0</v>
      </c>
      <c r="Y251" s="19"/>
      <c r="Z251" s="20" t="str">
        <f t="shared" si="244"/>
        <v>Ordinary Pass</v>
      </c>
      <c r="AA251" s="12"/>
      <c r="AB251" s="47"/>
    </row>
    <row r="252" spans="2:28" ht="27" customHeight="1">
      <c r="B252" s="9">
        <v>245</v>
      </c>
      <c r="C252" s="16" t="s">
        <v>505</v>
      </c>
      <c r="D252" s="18" t="s">
        <v>506</v>
      </c>
      <c r="E252" s="15" t="s">
        <v>507</v>
      </c>
      <c r="F252" s="12">
        <v>74</v>
      </c>
      <c r="G252" s="12" t="str">
        <f t="shared" si="231"/>
        <v>C</v>
      </c>
      <c r="H252" s="12">
        <v>49</v>
      </c>
      <c r="I252" s="12" t="str">
        <f t="shared" si="232"/>
        <v>S</v>
      </c>
      <c r="J252" s="12">
        <v>86</v>
      </c>
      <c r="K252" s="12" t="str">
        <f t="shared" si="233"/>
        <v>D</v>
      </c>
      <c r="L252" s="12">
        <v>45</v>
      </c>
      <c r="M252" s="12" t="str">
        <f t="shared" si="234"/>
        <v>S</v>
      </c>
      <c r="N252" s="12">
        <v>66</v>
      </c>
      <c r="O252" s="12" t="str">
        <f t="shared" si="235"/>
        <v>C</v>
      </c>
      <c r="P252" s="12">
        <v>58</v>
      </c>
      <c r="Q252" s="12" t="str">
        <f t="shared" si="236"/>
        <v>C</v>
      </c>
      <c r="R252" s="12">
        <f t="shared" si="243"/>
        <v>378</v>
      </c>
      <c r="S252" s="12" t="str">
        <f t="shared" si="237"/>
        <v>63%</v>
      </c>
      <c r="T252" s="12">
        <f t="shared" si="238"/>
        <v>1</v>
      </c>
      <c r="U252" s="12">
        <f t="shared" si="239"/>
        <v>3</v>
      </c>
      <c r="V252" s="12">
        <f t="shared" si="240"/>
        <v>2</v>
      </c>
      <c r="W252" s="12">
        <f t="shared" si="241"/>
        <v>0</v>
      </c>
      <c r="X252" s="12">
        <f t="shared" si="242"/>
        <v>0</v>
      </c>
      <c r="Y252" s="19"/>
      <c r="Z252" s="20" t="str">
        <f t="shared" si="244"/>
        <v>Ordinary Pass</v>
      </c>
      <c r="AA252" s="12"/>
      <c r="AB252" s="47"/>
    </row>
    <row r="253" spans="2:28" ht="27" customHeight="1">
      <c r="B253" s="9">
        <v>246</v>
      </c>
      <c r="C253" s="16" t="s">
        <v>508</v>
      </c>
      <c r="D253" s="18" t="s">
        <v>509</v>
      </c>
      <c r="E253" s="15" t="s">
        <v>510</v>
      </c>
      <c r="F253" s="12">
        <v>67</v>
      </c>
      <c r="G253" s="12" t="str">
        <f t="shared" si="231"/>
        <v>C</v>
      </c>
      <c r="H253" s="12">
        <v>47</v>
      </c>
      <c r="I253" s="12" t="str">
        <f t="shared" si="232"/>
        <v>S</v>
      </c>
      <c r="J253" s="12">
        <v>65</v>
      </c>
      <c r="K253" s="12" t="str">
        <f t="shared" si="233"/>
        <v>C</v>
      </c>
      <c r="L253" s="12">
        <v>35</v>
      </c>
      <c r="M253" s="12" t="str">
        <f t="shared" si="234"/>
        <v>S</v>
      </c>
      <c r="N253" s="12">
        <v>48</v>
      </c>
      <c r="O253" s="12" t="str">
        <f t="shared" si="235"/>
        <v>S</v>
      </c>
      <c r="P253" s="12">
        <v>48</v>
      </c>
      <c r="Q253" s="12" t="str">
        <f t="shared" si="236"/>
        <v>S</v>
      </c>
      <c r="R253" s="12">
        <f t="shared" si="243"/>
        <v>310</v>
      </c>
      <c r="S253" s="12" t="str">
        <f t="shared" si="237"/>
        <v>52%</v>
      </c>
      <c r="T253" s="12">
        <f t="shared" si="238"/>
        <v>0</v>
      </c>
      <c r="U253" s="12">
        <f t="shared" si="239"/>
        <v>2</v>
      </c>
      <c r="V253" s="12">
        <f t="shared" si="240"/>
        <v>4</v>
      </c>
      <c r="W253" s="12">
        <f t="shared" si="241"/>
        <v>0</v>
      </c>
      <c r="X253" s="12">
        <f t="shared" si="242"/>
        <v>0</v>
      </c>
      <c r="Y253" s="19"/>
      <c r="Z253" s="20" t="str">
        <f t="shared" si="244"/>
        <v>Ordinary Pass</v>
      </c>
      <c r="AA253" s="12"/>
      <c r="AB253" s="47"/>
    </row>
    <row r="254" spans="2:28" ht="27" customHeight="1">
      <c r="B254" s="9">
        <v>247</v>
      </c>
      <c r="C254" s="16" t="s">
        <v>511</v>
      </c>
      <c r="D254" s="18">
        <v>199967501244</v>
      </c>
      <c r="E254" s="15" t="s">
        <v>512</v>
      </c>
      <c r="F254" s="12" t="s">
        <v>14</v>
      </c>
      <c r="G254" s="12" t="str">
        <f t="shared" si="231"/>
        <v>AB</v>
      </c>
      <c r="H254" s="12" t="s">
        <v>14</v>
      </c>
      <c r="I254" s="12" t="str">
        <f t="shared" si="232"/>
        <v>AB</v>
      </c>
      <c r="J254" s="12" t="s">
        <v>14</v>
      </c>
      <c r="K254" s="12" t="str">
        <f t="shared" si="233"/>
        <v>AB</v>
      </c>
      <c r="L254" s="12" t="s">
        <v>14</v>
      </c>
      <c r="M254" s="12" t="str">
        <f t="shared" si="234"/>
        <v>AB</v>
      </c>
      <c r="N254" s="12" t="s">
        <v>14</v>
      </c>
      <c r="O254" s="12" t="str">
        <f t="shared" si="235"/>
        <v>AB</v>
      </c>
      <c r="P254" s="12" t="s">
        <v>14</v>
      </c>
      <c r="Q254" s="12" t="str">
        <f t="shared" si="236"/>
        <v>AB</v>
      </c>
      <c r="R254" s="12">
        <v>0</v>
      </c>
      <c r="S254" s="12" t="str">
        <f t="shared" si="237"/>
        <v>0%</v>
      </c>
      <c r="T254" s="12">
        <f t="shared" si="238"/>
        <v>0</v>
      </c>
      <c r="U254" s="12">
        <f t="shared" si="239"/>
        <v>0</v>
      </c>
      <c r="V254" s="12">
        <f t="shared" si="240"/>
        <v>0</v>
      </c>
      <c r="W254" s="12">
        <f t="shared" si="241"/>
        <v>0</v>
      </c>
      <c r="X254" s="12">
        <f t="shared" si="242"/>
        <v>6</v>
      </c>
      <c r="Y254" s="19"/>
      <c r="Z254" s="20" t="s">
        <v>7</v>
      </c>
      <c r="AA254" s="12"/>
      <c r="AB254" s="47"/>
    </row>
    <row r="255" spans="2:28" ht="27" customHeight="1">
      <c r="B255" s="9">
        <v>248</v>
      </c>
      <c r="C255" s="16" t="s">
        <v>513</v>
      </c>
      <c r="D255" s="18" t="s">
        <v>514</v>
      </c>
      <c r="E255" s="15" t="s">
        <v>515</v>
      </c>
      <c r="F255" s="12">
        <v>65</v>
      </c>
      <c r="G255" s="12" t="str">
        <f t="shared" si="231"/>
        <v>C</v>
      </c>
      <c r="H255" s="12">
        <v>56</v>
      </c>
      <c r="I255" s="12" t="str">
        <f t="shared" si="232"/>
        <v>C</v>
      </c>
      <c r="J255" s="12">
        <v>70</v>
      </c>
      <c r="K255" s="12" t="str">
        <f t="shared" si="233"/>
        <v>C</v>
      </c>
      <c r="L255" s="12">
        <v>35</v>
      </c>
      <c r="M255" s="12" t="str">
        <f t="shared" si="234"/>
        <v>S</v>
      </c>
      <c r="N255" s="12">
        <v>65</v>
      </c>
      <c r="O255" s="12" t="str">
        <f t="shared" si="235"/>
        <v>C</v>
      </c>
      <c r="P255" s="12">
        <v>48</v>
      </c>
      <c r="Q255" s="12" t="str">
        <f t="shared" si="236"/>
        <v>S</v>
      </c>
      <c r="R255" s="12">
        <f t="shared" ref="R255:R267" si="245">SUM(F255+H255+J255+L255+N255+P255)</f>
        <v>339</v>
      </c>
      <c r="S255" s="12" t="str">
        <f t="shared" si="237"/>
        <v>57%</v>
      </c>
      <c r="T255" s="12">
        <f t="shared" si="238"/>
        <v>0</v>
      </c>
      <c r="U255" s="12">
        <f t="shared" si="239"/>
        <v>4</v>
      </c>
      <c r="V255" s="12">
        <f t="shared" si="240"/>
        <v>2</v>
      </c>
      <c r="W255" s="12">
        <f t="shared" si="241"/>
        <v>0</v>
      </c>
      <c r="X255" s="12">
        <f t="shared" si="242"/>
        <v>0</v>
      </c>
      <c r="Y255" s="19"/>
      <c r="Z255" s="20" t="str">
        <f t="shared" si="244"/>
        <v>Ordinary Pass</v>
      </c>
      <c r="AA255" s="12"/>
      <c r="AB255" s="47"/>
    </row>
    <row r="256" spans="2:28" ht="27" customHeight="1">
      <c r="B256" s="9">
        <v>249</v>
      </c>
      <c r="C256" s="16" t="s">
        <v>516</v>
      </c>
      <c r="D256" s="18" t="s">
        <v>517</v>
      </c>
      <c r="E256" s="15" t="s">
        <v>518</v>
      </c>
      <c r="F256" s="12" t="s">
        <v>14</v>
      </c>
      <c r="G256" s="12" t="str">
        <f t="shared" si="231"/>
        <v>AB</v>
      </c>
      <c r="H256" s="12" t="s">
        <v>14</v>
      </c>
      <c r="I256" s="12" t="str">
        <f t="shared" si="232"/>
        <v>AB</v>
      </c>
      <c r="J256" s="12" t="s">
        <v>14</v>
      </c>
      <c r="K256" s="12" t="str">
        <f t="shared" si="233"/>
        <v>AB</v>
      </c>
      <c r="L256" s="12" t="s">
        <v>14</v>
      </c>
      <c r="M256" s="12" t="str">
        <f t="shared" si="234"/>
        <v>AB</v>
      </c>
      <c r="N256" s="12" t="s">
        <v>14</v>
      </c>
      <c r="O256" s="12" t="str">
        <f t="shared" si="235"/>
        <v>AB</v>
      </c>
      <c r="P256" s="12" t="s">
        <v>14</v>
      </c>
      <c r="Q256" s="12" t="str">
        <f t="shared" si="236"/>
        <v>AB</v>
      </c>
      <c r="R256" s="12">
        <v>0</v>
      </c>
      <c r="S256" s="12" t="str">
        <f t="shared" si="237"/>
        <v>0%</v>
      </c>
      <c r="T256" s="12">
        <f t="shared" si="238"/>
        <v>0</v>
      </c>
      <c r="U256" s="12">
        <f t="shared" si="239"/>
        <v>0</v>
      </c>
      <c r="V256" s="12">
        <f t="shared" si="240"/>
        <v>0</v>
      </c>
      <c r="W256" s="12">
        <f t="shared" si="241"/>
        <v>0</v>
      </c>
      <c r="X256" s="12">
        <f t="shared" si="242"/>
        <v>6</v>
      </c>
      <c r="Y256" s="19"/>
      <c r="Z256" s="20" t="s">
        <v>7</v>
      </c>
      <c r="AA256" s="12"/>
      <c r="AB256" s="47"/>
    </row>
    <row r="257" spans="2:28" ht="27" customHeight="1">
      <c r="B257" s="9">
        <v>250</v>
      </c>
      <c r="C257" s="16" t="s">
        <v>519</v>
      </c>
      <c r="D257" s="18" t="s">
        <v>520</v>
      </c>
      <c r="E257" s="15" t="s">
        <v>521</v>
      </c>
      <c r="F257" s="12" t="s">
        <v>14</v>
      </c>
      <c r="G257" s="12" t="str">
        <f t="shared" si="231"/>
        <v>AB</v>
      </c>
      <c r="H257" s="12" t="s">
        <v>14</v>
      </c>
      <c r="I257" s="12" t="str">
        <f t="shared" si="232"/>
        <v>AB</v>
      </c>
      <c r="J257" s="12" t="s">
        <v>14</v>
      </c>
      <c r="K257" s="12" t="str">
        <f t="shared" si="233"/>
        <v>AB</v>
      </c>
      <c r="L257" s="12" t="s">
        <v>14</v>
      </c>
      <c r="M257" s="12" t="str">
        <f t="shared" si="234"/>
        <v>AB</v>
      </c>
      <c r="N257" s="12" t="s">
        <v>14</v>
      </c>
      <c r="O257" s="12" t="str">
        <f t="shared" si="235"/>
        <v>AB</v>
      </c>
      <c r="P257" s="12" t="s">
        <v>14</v>
      </c>
      <c r="Q257" s="12" t="str">
        <f t="shared" si="236"/>
        <v>AB</v>
      </c>
      <c r="R257" s="12">
        <v>0</v>
      </c>
      <c r="S257" s="12" t="str">
        <f t="shared" si="237"/>
        <v>0%</v>
      </c>
      <c r="T257" s="12">
        <f t="shared" si="238"/>
        <v>0</v>
      </c>
      <c r="U257" s="12">
        <f t="shared" si="239"/>
        <v>0</v>
      </c>
      <c r="V257" s="12">
        <f t="shared" si="240"/>
        <v>0</v>
      </c>
      <c r="W257" s="12">
        <f t="shared" si="241"/>
        <v>0</v>
      </c>
      <c r="X257" s="12">
        <f t="shared" si="242"/>
        <v>6</v>
      </c>
      <c r="Y257" s="19"/>
      <c r="Z257" s="20" t="s">
        <v>7</v>
      </c>
      <c r="AA257" s="12"/>
      <c r="AB257" s="47"/>
    </row>
    <row r="258" spans="2:28" ht="27" customHeight="1">
      <c r="B258" s="9">
        <v>251</v>
      </c>
      <c r="C258" s="16" t="s">
        <v>522</v>
      </c>
      <c r="D258" s="18" t="s">
        <v>523</v>
      </c>
      <c r="E258" s="15" t="s">
        <v>524</v>
      </c>
      <c r="F258" s="12">
        <v>71</v>
      </c>
      <c r="G258" s="12" t="str">
        <f t="shared" si="231"/>
        <v>C</v>
      </c>
      <c r="H258" s="12">
        <v>55</v>
      </c>
      <c r="I258" s="12" t="str">
        <f t="shared" si="232"/>
        <v>C</v>
      </c>
      <c r="J258" s="12">
        <v>55</v>
      </c>
      <c r="K258" s="12" t="str">
        <f t="shared" si="233"/>
        <v>C</v>
      </c>
      <c r="L258" s="12">
        <v>44</v>
      </c>
      <c r="M258" s="12" t="str">
        <f t="shared" si="234"/>
        <v>S</v>
      </c>
      <c r="N258" s="12">
        <v>66</v>
      </c>
      <c r="O258" s="12" t="str">
        <f t="shared" si="235"/>
        <v>C</v>
      </c>
      <c r="P258" s="12">
        <v>40</v>
      </c>
      <c r="Q258" s="12" t="str">
        <f t="shared" si="236"/>
        <v>S</v>
      </c>
      <c r="R258" s="12">
        <f t="shared" si="245"/>
        <v>331</v>
      </c>
      <c r="S258" s="12" t="str">
        <f t="shared" si="237"/>
        <v>55%</v>
      </c>
      <c r="T258" s="12">
        <f t="shared" si="238"/>
        <v>0</v>
      </c>
      <c r="U258" s="12">
        <f t="shared" si="239"/>
        <v>4</v>
      </c>
      <c r="V258" s="12">
        <f t="shared" si="240"/>
        <v>2</v>
      </c>
      <c r="W258" s="12">
        <f t="shared" si="241"/>
        <v>0</v>
      </c>
      <c r="X258" s="12">
        <f t="shared" si="242"/>
        <v>0</v>
      </c>
      <c r="Y258" s="19"/>
      <c r="Z258" s="20" t="str">
        <f t="shared" si="244"/>
        <v>Ordinary Pass</v>
      </c>
      <c r="AA258" s="12"/>
      <c r="AB258" s="47"/>
    </row>
    <row r="259" spans="2:28" ht="27" customHeight="1">
      <c r="B259" s="9">
        <v>252</v>
      </c>
      <c r="C259" s="16" t="s">
        <v>525</v>
      </c>
      <c r="D259" s="18">
        <v>199455700784</v>
      </c>
      <c r="E259" s="15" t="s">
        <v>526</v>
      </c>
      <c r="F259" s="12">
        <v>66</v>
      </c>
      <c r="G259" s="12" t="str">
        <f t="shared" si="231"/>
        <v>C</v>
      </c>
      <c r="H259" s="12">
        <v>83</v>
      </c>
      <c r="I259" s="12" t="str">
        <f t="shared" si="232"/>
        <v>D</v>
      </c>
      <c r="J259" s="12">
        <v>87</v>
      </c>
      <c r="K259" s="12" t="str">
        <f t="shared" si="233"/>
        <v>D</v>
      </c>
      <c r="L259" s="12">
        <v>49</v>
      </c>
      <c r="M259" s="12" t="str">
        <f t="shared" si="234"/>
        <v>S</v>
      </c>
      <c r="N259" s="12">
        <v>64</v>
      </c>
      <c r="O259" s="12" t="str">
        <f t="shared" si="235"/>
        <v>C</v>
      </c>
      <c r="P259" s="12">
        <v>65</v>
      </c>
      <c r="Q259" s="12" t="str">
        <f t="shared" si="236"/>
        <v>C</v>
      </c>
      <c r="R259" s="12">
        <f t="shared" si="245"/>
        <v>414</v>
      </c>
      <c r="S259" s="12" t="str">
        <f t="shared" si="237"/>
        <v>69%</v>
      </c>
      <c r="T259" s="12">
        <f t="shared" si="238"/>
        <v>2</v>
      </c>
      <c r="U259" s="12">
        <f t="shared" si="239"/>
        <v>3</v>
      </c>
      <c r="V259" s="12">
        <f t="shared" si="240"/>
        <v>1</v>
      </c>
      <c r="W259" s="12">
        <f t="shared" si="241"/>
        <v>0</v>
      </c>
      <c r="X259" s="12">
        <f t="shared" si="242"/>
        <v>0</v>
      </c>
      <c r="Y259" s="19"/>
      <c r="Z259" s="20" t="str">
        <f t="shared" si="244"/>
        <v>Ordinary Pass</v>
      </c>
      <c r="AA259" s="12"/>
      <c r="AB259" s="47"/>
    </row>
    <row r="260" spans="2:28" ht="27" customHeight="1">
      <c r="B260" s="9">
        <v>253</v>
      </c>
      <c r="C260" s="16" t="s">
        <v>527</v>
      </c>
      <c r="D260" s="18">
        <v>200156703970</v>
      </c>
      <c r="E260" s="15" t="s">
        <v>528</v>
      </c>
      <c r="F260" s="12">
        <v>69</v>
      </c>
      <c r="G260" s="12" t="str">
        <f t="shared" si="231"/>
        <v>C</v>
      </c>
      <c r="H260" s="12">
        <v>69</v>
      </c>
      <c r="I260" s="12" t="str">
        <f t="shared" si="232"/>
        <v>C</v>
      </c>
      <c r="J260" s="12">
        <v>71</v>
      </c>
      <c r="K260" s="12" t="str">
        <f t="shared" si="233"/>
        <v>C</v>
      </c>
      <c r="L260" s="12">
        <v>48</v>
      </c>
      <c r="M260" s="12" t="str">
        <f t="shared" si="234"/>
        <v>S</v>
      </c>
      <c r="N260" s="12">
        <v>48</v>
      </c>
      <c r="O260" s="12" t="str">
        <f t="shared" si="235"/>
        <v>S</v>
      </c>
      <c r="P260" s="12">
        <v>45</v>
      </c>
      <c r="Q260" s="12" t="str">
        <f t="shared" si="236"/>
        <v>S</v>
      </c>
      <c r="R260" s="12">
        <f t="shared" si="245"/>
        <v>350</v>
      </c>
      <c r="S260" s="12" t="str">
        <f t="shared" si="237"/>
        <v>58%</v>
      </c>
      <c r="T260" s="12">
        <f t="shared" si="238"/>
        <v>0</v>
      </c>
      <c r="U260" s="12">
        <f t="shared" si="239"/>
        <v>3</v>
      </c>
      <c r="V260" s="12">
        <f t="shared" si="240"/>
        <v>3</v>
      </c>
      <c r="W260" s="12">
        <f t="shared" si="241"/>
        <v>0</v>
      </c>
      <c r="X260" s="12">
        <f t="shared" si="242"/>
        <v>0</v>
      </c>
      <c r="Y260" s="19"/>
      <c r="Z260" s="20" t="str">
        <f t="shared" si="244"/>
        <v>Ordinary Pass</v>
      </c>
      <c r="AA260" s="12"/>
      <c r="AB260" s="47"/>
    </row>
    <row r="261" spans="2:28" ht="27" customHeight="1">
      <c r="B261" s="9">
        <v>254</v>
      </c>
      <c r="C261" s="16" t="s">
        <v>529</v>
      </c>
      <c r="D261" s="18" t="s">
        <v>530</v>
      </c>
      <c r="E261" s="15" t="s">
        <v>531</v>
      </c>
      <c r="F261" s="12">
        <v>76</v>
      </c>
      <c r="G261" s="12" t="str">
        <f t="shared" si="231"/>
        <v>D</v>
      </c>
      <c r="H261" s="12">
        <v>68</v>
      </c>
      <c r="I261" s="12" t="str">
        <f t="shared" si="232"/>
        <v>C</v>
      </c>
      <c r="J261" s="12">
        <v>70</v>
      </c>
      <c r="K261" s="12" t="str">
        <f t="shared" si="233"/>
        <v>C</v>
      </c>
      <c r="L261" s="12">
        <v>63</v>
      </c>
      <c r="M261" s="12" t="str">
        <f t="shared" si="234"/>
        <v>C</v>
      </c>
      <c r="N261" s="12">
        <v>69</v>
      </c>
      <c r="O261" s="12" t="str">
        <f t="shared" si="235"/>
        <v>C</v>
      </c>
      <c r="P261" s="12">
        <v>55</v>
      </c>
      <c r="Q261" s="12" t="str">
        <f t="shared" si="236"/>
        <v>C</v>
      </c>
      <c r="R261" s="12">
        <f t="shared" si="245"/>
        <v>401</v>
      </c>
      <c r="S261" s="12" t="str">
        <f t="shared" si="237"/>
        <v>67%</v>
      </c>
      <c r="T261" s="12">
        <f t="shared" si="238"/>
        <v>1</v>
      </c>
      <c r="U261" s="12">
        <f t="shared" si="239"/>
        <v>5</v>
      </c>
      <c r="V261" s="12">
        <f t="shared" si="240"/>
        <v>0</v>
      </c>
      <c r="W261" s="12">
        <f t="shared" si="241"/>
        <v>0</v>
      </c>
      <c r="X261" s="12">
        <f t="shared" si="242"/>
        <v>0</v>
      </c>
      <c r="Y261" s="19"/>
      <c r="Z261" s="20" t="s">
        <v>10</v>
      </c>
      <c r="AA261" s="12"/>
      <c r="AB261" s="47"/>
    </row>
    <row r="262" spans="2:28" ht="27" customHeight="1">
      <c r="B262" s="9">
        <v>255</v>
      </c>
      <c r="C262" s="16" t="s">
        <v>532</v>
      </c>
      <c r="D262" s="18">
        <v>198468503774</v>
      </c>
      <c r="E262" s="15" t="s">
        <v>533</v>
      </c>
      <c r="F262" s="12">
        <v>72</v>
      </c>
      <c r="G262" s="12" t="str">
        <f t="shared" si="231"/>
        <v>C</v>
      </c>
      <c r="H262" s="12">
        <v>81</v>
      </c>
      <c r="I262" s="12" t="str">
        <f t="shared" si="232"/>
        <v>D</v>
      </c>
      <c r="J262" s="12">
        <v>78</v>
      </c>
      <c r="K262" s="12" t="str">
        <f t="shared" si="233"/>
        <v>D</v>
      </c>
      <c r="L262" s="12">
        <v>45</v>
      </c>
      <c r="M262" s="12" t="str">
        <f t="shared" si="234"/>
        <v>S</v>
      </c>
      <c r="N262" s="12">
        <v>73</v>
      </c>
      <c r="O262" s="12" t="str">
        <f t="shared" si="235"/>
        <v>C</v>
      </c>
      <c r="P262" s="12">
        <v>46</v>
      </c>
      <c r="Q262" s="12" t="str">
        <f t="shared" si="236"/>
        <v>S</v>
      </c>
      <c r="R262" s="12">
        <f t="shared" si="245"/>
        <v>395</v>
      </c>
      <c r="S262" s="12" t="str">
        <f t="shared" si="237"/>
        <v>66%</v>
      </c>
      <c r="T262" s="12">
        <f t="shared" si="238"/>
        <v>2</v>
      </c>
      <c r="U262" s="12">
        <f t="shared" si="239"/>
        <v>2</v>
      </c>
      <c r="V262" s="12">
        <f t="shared" si="240"/>
        <v>2</v>
      </c>
      <c r="W262" s="12">
        <f t="shared" si="241"/>
        <v>0</v>
      </c>
      <c r="X262" s="12">
        <f t="shared" si="242"/>
        <v>0</v>
      </c>
      <c r="Y262" s="19"/>
      <c r="Z262" s="20" t="str">
        <f t="shared" si="244"/>
        <v>Ordinary Pass</v>
      </c>
      <c r="AA262" s="12"/>
      <c r="AB262" s="47"/>
    </row>
    <row r="263" spans="2:28" ht="27" customHeight="1">
      <c r="B263" s="9">
        <v>256</v>
      </c>
      <c r="C263" s="16" t="s">
        <v>534</v>
      </c>
      <c r="D263" s="18" t="s">
        <v>535</v>
      </c>
      <c r="E263" s="15" t="s">
        <v>536</v>
      </c>
      <c r="F263" s="12" t="s">
        <v>14</v>
      </c>
      <c r="G263" s="12" t="str">
        <f t="shared" si="231"/>
        <v>AB</v>
      </c>
      <c r="H263" s="12" t="s">
        <v>14</v>
      </c>
      <c r="I263" s="12" t="str">
        <f t="shared" si="232"/>
        <v>AB</v>
      </c>
      <c r="J263" s="12" t="s">
        <v>14</v>
      </c>
      <c r="K263" s="12" t="str">
        <f t="shared" si="233"/>
        <v>AB</v>
      </c>
      <c r="L263" s="12" t="s">
        <v>14</v>
      </c>
      <c r="M263" s="12" t="str">
        <f t="shared" si="234"/>
        <v>AB</v>
      </c>
      <c r="N263" s="12" t="s">
        <v>14</v>
      </c>
      <c r="O263" s="12" t="str">
        <f t="shared" si="235"/>
        <v>AB</v>
      </c>
      <c r="P263" s="12" t="s">
        <v>14</v>
      </c>
      <c r="Q263" s="12" t="str">
        <f t="shared" si="236"/>
        <v>AB</v>
      </c>
      <c r="R263" s="12">
        <v>0</v>
      </c>
      <c r="S263" s="12" t="str">
        <f t="shared" si="237"/>
        <v>0%</v>
      </c>
      <c r="T263" s="12">
        <f t="shared" si="238"/>
        <v>0</v>
      </c>
      <c r="U263" s="12">
        <f t="shared" si="239"/>
        <v>0</v>
      </c>
      <c r="V263" s="12">
        <f t="shared" si="240"/>
        <v>0</v>
      </c>
      <c r="W263" s="12">
        <f t="shared" si="241"/>
        <v>0</v>
      </c>
      <c r="X263" s="12">
        <f t="shared" si="242"/>
        <v>6</v>
      </c>
      <c r="Y263" s="19"/>
      <c r="Z263" s="20" t="s">
        <v>7</v>
      </c>
      <c r="AA263" s="12"/>
      <c r="AB263" s="47"/>
    </row>
    <row r="264" spans="2:28" ht="27" customHeight="1">
      <c r="B264" s="9">
        <v>257</v>
      </c>
      <c r="C264" s="16" t="s">
        <v>537</v>
      </c>
      <c r="D264" s="18" t="s">
        <v>538</v>
      </c>
      <c r="E264" s="15" t="s">
        <v>539</v>
      </c>
      <c r="F264" s="12" t="s">
        <v>14</v>
      </c>
      <c r="G264" s="12" t="str">
        <f t="shared" si="231"/>
        <v>AB</v>
      </c>
      <c r="H264" s="12" t="s">
        <v>14</v>
      </c>
      <c r="I264" s="12" t="str">
        <f t="shared" si="232"/>
        <v>AB</v>
      </c>
      <c r="J264" s="12" t="s">
        <v>14</v>
      </c>
      <c r="K264" s="12" t="str">
        <f t="shared" si="233"/>
        <v>AB</v>
      </c>
      <c r="L264" s="12" t="s">
        <v>14</v>
      </c>
      <c r="M264" s="12" t="str">
        <f t="shared" si="234"/>
        <v>AB</v>
      </c>
      <c r="N264" s="12" t="s">
        <v>14</v>
      </c>
      <c r="O264" s="12" t="str">
        <f t="shared" si="235"/>
        <v>AB</v>
      </c>
      <c r="P264" s="12" t="s">
        <v>14</v>
      </c>
      <c r="Q264" s="12" t="str">
        <f t="shared" si="236"/>
        <v>AB</v>
      </c>
      <c r="R264" s="12">
        <v>0</v>
      </c>
      <c r="S264" s="12" t="str">
        <f t="shared" si="237"/>
        <v>0%</v>
      </c>
      <c r="T264" s="12">
        <f t="shared" si="238"/>
        <v>0</v>
      </c>
      <c r="U264" s="12">
        <f t="shared" si="239"/>
        <v>0</v>
      </c>
      <c r="V264" s="12">
        <f t="shared" si="240"/>
        <v>0</v>
      </c>
      <c r="W264" s="12">
        <f t="shared" si="241"/>
        <v>0</v>
      </c>
      <c r="X264" s="12">
        <f t="shared" si="242"/>
        <v>6</v>
      </c>
      <c r="Y264" s="19"/>
      <c r="Z264" s="20" t="s">
        <v>7</v>
      </c>
      <c r="AA264" s="12"/>
      <c r="AB264" s="47"/>
    </row>
    <row r="265" spans="2:28" ht="27" customHeight="1">
      <c r="B265" s="9">
        <v>258</v>
      </c>
      <c r="C265" s="16" t="s">
        <v>540</v>
      </c>
      <c r="D265" s="18" t="s">
        <v>541</v>
      </c>
      <c r="E265" s="15" t="s">
        <v>542</v>
      </c>
      <c r="F265" s="12" t="s">
        <v>14</v>
      </c>
      <c r="G265" s="12" t="str">
        <f t="shared" si="231"/>
        <v>AB</v>
      </c>
      <c r="H265" s="12" t="s">
        <v>14</v>
      </c>
      <c r="I265" s="12" t="str">
        <f t="shared" si="232"/>
        <v>AB</v>
      </c>
      <c r="J265" s="12" t="s">
        <v>14</v>
      </c>
      <c r="K265" s="12" t="str">
        <f t="shared" si="233"/>
        <v>AB</v>
      </c>
      <c r="L265" s="12" t="s">
        <v>14</v>
      </c>
      <c r="M265" s="12" t="str">
        <f t="shared" si="234"/>
        <v>AB</v>
      </c>
      <c r="N265" s="12" t="s">
        <v>14</v>
      </c>
      <c r="O265" s="12" t="str">
        <f t="shared" si="235"/>
        <v>AB</v>
      </c>
      <c r="P265" s="12" t="s">
        <v>14</v>
      </c>
      <c r="Q265" s="12" t="str">
        <f t="shared" si="236"/>
        <v>AB</v>
      </c>
      <c r="R265" s="12">
        <v>0</v>
      </c>
      <c r="S265" s="12" t="str">
        <f t="shared" si="237"/>
        <v>0%</v>
      </c>
      <c r="T265" s="12">
        <f t="shared" si="238"/>
        <v>0</v>
      </c>
      <c r="U265" s="12">
        <f t="shared" si="239"/>
        <v>0</v>
      </c>
      <c r="V265" s="12">
        <f t="shared" si="240"/>
        <v>0</v>
      </c>
      <c r="W265" s="12">
        <f t="shared" si="241"/>
        <v>0</v>
      </c>
      <c r="X265" s="12">
        <f t="shared" si="242"/>
        <v>6</v>
      </c>
      <c r="Y265" s="19"/>
      <c r="Z265" s="20" t="s">
        <v>7</v>
      </c>
      <c r="AA265" s="12"/>
      <c r="AB265" s="47"/>
    </row>
    <row r="266" spans="2:28" ht="27" customHeight="1">
      <c r="B266" s="9">
        <v>259</v>
      </c>
      <c r="C266" s="16" t="s">
        <v>543</v>
      </c>
      <c r="D266" s="18" t="s">
        <v>544</v>
      </c>
      <c r="E266" s="15" t="s">
        <v>545</v>
      </c>
      <c r="F266" s="12" t="s">
        <v>14</v>
      </c>
      <c r="G266" s="12" t="str">
        <f t="shared" si="231"/>
        <v>AB</v>
      </c>
      <c r="H266" s="12" t="s">
        <v>14</v>
      </c>
      <c r="I266" s="12" t="str">
        <f t="shared" si="232"/>
        <v>AB</v>
      </c>
      <c r="J266" s="12" t="s">
        <v>14</v>
      </c>
      <c r="K266" s="12" t="str">
        <f t="shared" si="233"/>
        <v>AB</v>
      </c>
      <c r="L266" s="12" t="s">
        <v>14</v>
      </c>
      <c r="M266" s="12" t="str">
        <f t="shared" si="234"/>
        <v>AB</v>
      </c>
      <c r="N266" s="12" t="s">
        <v>14</v>
      </c>
      <c r="O266" s="12" t="str">
        <f t="shared" si="235"/>
        <v>AB</v>
      </c>
      <c r="P266" s="12" t="s">
        <v>14</v>
      </c>
      <c r="Q266" s="12" t="str">
        <f t="shared" si="236"/>
        <v>AB</v>
      </c>
      <c r="R266" s="12">
        <v>0</v>
      </c>
      <c r="S266" s="12" t="str">
        <f t="shared" si="237"/>
        <v>0%</v>
      </c>
      <c r="T266" s="12">
        <f t="shared" si="238"/>
        <v>0</v>
      </c>
      <c r="U266" s="12">
        <f t="shared" si="239"/>
        <v>0</v>
      </c>
      <c r="V266" s="12">
        <f t="shared" si="240"/>
        <v>0</v>
      </c>
      <c r="W266" s="12">
        <f t="shared" si="241"/>
        <v>0</v>
      </c>
      <c r="X266" s="12">
        <f t="shared" si="242"/>
        <v>6</v>
      </c>
      <c r="Y266" s="19"/>
      <c r="Z266" s="20" t="s">
        <v>7</v>
      </c>
      <c r="AA266" s="12"/>
      <c r="AB266" s="47"/>
    </row>
    <row r="267" spans="2:28" ht="27" customHeight="1">
      <c r="B267" s="9">
        <v>260</v>
      </c>
      <c r="C267" s="16" t="s">
        <v>546</v>
      </c>
      <c r="D267" s="18" t="s">
        <v>547</v>
      </c>
      <c r="E267" s="15" t="s">
        <v>548</v>
      </c>
      <c r="F267" s="12">
        <v>93</v>
      </c>
      <c r="G267" s="12" t="str">
        <f t="shared" si="231"/>
        <v>D</v>
      </c>
      <c r="H267" s="12">
        <v>93</v>
      </c>
      <c r="I267" s="12" t="str">
        <f t="shared" si="232"/>
        <v>D</v>
      </c>
      <c r="J267" s="12">
        <v>99</v>
      </c>
      <c r="K267" s="12" t="str">
        <f t="shared" si="233"/>
        <v>D</v>
      </c>
      <c r="L267" s="12">
        <v>83</v>
      </c>
      <c r="M267" s="12" t="str">
        <f t="shared" si="234"/>
        <v>D</v>
      </c>
      <c r="N267" s="12">
        <v>74</v>
      </c>
      <c r="O267" s="12" t="str">
        <f t="shared" si="235"/>
        <v>C</v>
      </c>
      <c r="P267" s="12">
        <v>76</v>
      </c>
      <c r="Q267" s="12" t="str">
        <f t="shared" si="236"/>
        <v>D</v>
      </c>
      <c r="R267" s="12">
        <f t="shared" si="245"/>
        <v>518</v>
      </c>
      <c r="S267" s="12" t="str">
        <f t="shared" si="237"/>
        <v>86%</v>
      </c>
      <c r="T267" s="12">
        <f t="shared" si="238"/>
        <v>5</v>
      </c>
      <c r="U267" s="12">
        <f t="shared" si="239"/>
        <v>1</v>
      </c>
      <c r="V267" s="12">
        <f t="shared" si="240"/>
        <v>0</v>
      </c>
      <c r="W267" s="12">
        <f t="shared" si="241"/>
        <v>0</v>
      </c>
      <c r="X267" s="12">
        <f t="shared" si="242"/>
        <v>0</v>
      </c>
      <c r="Y267" s="19"/>
      <c r="Z267" s="20" t="str">
        <f t="shared" si="244"/>
        <v>First Class</v>
      </c>
      <c r="AA267" s="12"/>
      <c r="AB267" s="47"/>
    </row>
    <row r="268" spans="2:28" ht="27" customHeight="1">
      <c r="B268" s="9">
        <v>261</v>
      </c>
      <c r="C268" s="16" t="s">
        <v>549</v>
      </c>
      <c r="D268" s="18" t="s">
        <v>550</v>
      </c>
      <c r="E268" s="15" t="s">
        <v>551</v>
      </c>
      <c r="F268" s="12">
        <v>84</v>
      </c>
      <c r="G268" s="12" t="str">
        <f t="shared" ref="G268:G287" si="246">IF(F268="-", "AB", IF(F268&gt;=75, "D", IF(F268&gt;=55, "C", IF(F268&gt;=35, "S", IF(F268&gt;=0, "F")))))</f>
        <v>D</v>
      </c>
      <c r="H268" s="12">
        <v>91</v>
      </c>
      <c r="I268" s="12" t="str">
        <f t="shared" ref="I268:I287" si="247">IF(H268="-", "AB", IF(H268&gt;=75, "D", IF(H268&gt;=55, "C", IF(H268&gt;=35, "S", IF(H268&gt;=0, "F")))))</f>
        <v>D</v>
      </c>
      <c r="J268" s="12">
        <v>95</v>
      </c>
      <c r="K268" s="12" t="str">
        <f t="shared" ref="K268:K287" si="248">IF(J268="-", "AB", IF(J268&gt;=75, "D", IF(J268&gt;=55, "C", IF(J268&gt;=35, "S", IF(J268&gt;=0, "F")))))</f>
        <v>D</v>
      </c>
      <c r="L268" s="12">
        <v>83</v>
      </c>
      <c r="M268" s="12" t="str">
        <f t="shared" ref="M268:M287" si="249">IF(L268="-", "AB", IF(L268&gt;=75, "D", IF(L268&gt;=55, "C", IF(L268&gt;=35, "S", IF(L268&gt;=0, "F")))))</f>
        <v>D</v>
      </c>
      <c r="N268" s="12">
        <v>79</v>
      </c>
      <c r="O268" s="12" t="str">
        <f t="shared" ref="O268:O287" si="250">IF(N268="-", "AB", IF(N268&gt;=75, "D", IF(N268&gt;=55, "C", IF(N268&gt;=35, "S", IF(N268&gt;=0, "F")))))</f>
        <v>D</v>
      </c>
      <c r="P268" s="12">
        <v>76</v>
      </c>
      <c r="Q268" s="12" t="str">
        <f t="shared" ref="Q268:Q287" si="251">IF(P268="-", "AB", IF(P268&gt;=75, "D", IF(P268&gt;=55, "C", IF(P268&gt;=35, "S", IF(P268&gt;=0, "F")))))</f>
        <v>D</v>
      </c>
      <c r="R268" s="12">
        <f t="shared" ref="R268:R287" si="252">SUM(F268+H268+J268+L268+N268+P268)</f>
        <v>508</v>
      </c>
      <c r="S268" s="12" t="str">
        <f t="shared" ref="S268:S287" si="253">ROUND(R268/6, 0)&amp;"%"</f>
        <v>85%</v>
      </c>
      <c r="T268" s="12">
        <f t="shared" ref="T268:T287" si="254">COUNTIF(F268:Q268, "D")</f>
        <v>6</v>
      </c>
      <c r="U268" s="12">
        <f t="shared" ref="U268:U287" si="255">COUNTIF(G268:T268, "C")</f>
        <v>0</v>
      </c>
      <c r="V268" s="12">
        <f t="shared" ref="V268:V287" si="256">COUNTIF(H268:U268, "S")</f>
        <v>0</v>
      </c>
      <c r="W268" s="12">
        <f t="shared" ref="W268:W287" si="257">COUNTIF(I268:V268, "F")</f>
        <v>0</v>
      </c>
      <c r="X268" s="12">
        <f t="shared" ref="X268:X287" si="258">COUNTIF(F268:W268, "-")</f>
        <v>0</v>
      </c>
      <c r="Y268" s="19"/>
      <c r="Z268" s="20" t="str">
        <f t="shared" ref="Z268:Z287" si="259">IF(X268&gt;0, "Not Completed",
   IF(T268=10, "First Class",
      IF(S268&gt;75, IF(V268&gt;0, "Ordinary Pass", "First Class"),
         IF(S268&gt;65, IF(V268&gt;0, "Ordinary Pass", "Second Class"), "none")
      )
   )
)</f>
        <v>First Class</v>
      </c>
      <c r="AA268" s="12"/>
      <c r="AB268" s="47"/>
    </row>
    <row r="269" spans="2:28" ht="27" customHeight="1">
      <c r="B269" s="9">
        <v>262</v>
      </c>
      <c r="C269" s="16" t="s">
        <v>552</v>
      </c>
      <c r="D269" s="18">
        <v>200177001350</v>
      </c>
      <c r="E269" s="15" t="s">
        <v>553</v>
      </c>
      <c r="F269" s="12">
        <v>68</v>
      </c>
      <c r="G269" s="12" t="str">
        <f t="shared" si="246"/>
        <v>C</v>
      </c>
      <c r="H269" s="12">
        <v>87</v>
      </c>
      <c r="I269" s="12" t="str">
        <f t="shared" si="247"/>
        <v>D</v>
      </c>
      <c r="J269" s="12">
        <v>65</v>
      </c>
      <c r="K269" s="12" t="str">
        <f t="shared" si="248"/>
        <v>C</v>
      </c>
      <c r="L269" s="12">
        <v>52</v>
      </c>
      <c r="M269" s="12" t="str">
        <f t="shared" si="249"/>
        <v>S</v>
      </c>
      <c r="N269" s="12">
        <v>68</v>
      </c>
      <c r="O269" s="12" t="str">
        <f t="shared" si="250"/>
        <v>C</v>
      </c>
      <c r="P269" s="12">
        <v>52</v>
      </c>
      <c r="Q269" s="12" t="str">
        <f t="shared" si="251"/>
        <v>S</v>
      </c>
      <c r="R269" s="12">
        <f t="shared" si="252"/>
        <v>392</v>
      </c>
      <c r="S269" s="12" t="str">
        <f t="shared" si="253"/>
        <v>65%</v>
      </c>
      <c r="T269" s="12">
        <f t="shared" si="254"/>
        <v>1</v>
      </c>
      <c r="U269" s="12">
        <f t="shared" si="255"/>
        <v>3</v>
      </c>
      <c r="V269" s="12">
        <f t="shared" si="256"/>
        <v>2</v>
      </c>
      <c r="W269" s="12">
        <f t="shared" si="257"/>
        <v>0</v>
      </c>
      <c r="X269" s="12">
        <f t="shared" si="258"/>
        <v>0</v>
      </c>
      <c r="Y269" s="19"/>
      <c r="Z269" s="20" t="str">
        <f t="shared" si="259"/>
        <v>Ordinary Pass</v>
      </c>
      <c r="AA269" s="12"/>
      <c r="AB269" s="47"/>
    </row>
    <row r="270" spans="2:28" ht="27" customHeight="1">
      <c r="B270" s="9">
        <v>263</v>
      </c>
      <c r="C270" s="16" t="s">
        <v>554</v>
      </c>
      <c r="D270" s="18">
        <v>197978102340</v>
      </c>
      <c r="E270" s="15" t="s">
        <v>555</v>
      </c>
      <c r="F270" s="12">
        <v>46</v>
      </c>
      <c r="G270" s="12" t="str">
        <f t="shared" si="246"/>
        <v>S</v>
      </c>
      <c r="H270" s="12">
        <v>67</v>
      </c>
      <c r="I270" s="12" t="str">
        <f t="shared" si="247"/>
        <v>C</v>
      </c>
      <c r="J270" s="12">
        <v>62</v>
      </c>
      <c r="K270" s="12" t="str">
        <f t="shared" si="248"/>
        <v>C</v>
      </c>
      <c r="L270" s="12">
        <v>42</v>
      </c>
      <c r="M270" s="12" t="str">
        <f t="shared" si="249"/>
        <v>S</v>
      </c>
      <c r="N270" s="12">
        <v>49</v>
      </c>
      <c r="O270" s="12" t="str">
        <f t="shared" si="250"/>
        <v>S</v>
      </c>
      <c r="P270" s="12">
        <v>38</v>
      </c>
      <c r="Q270" s="12" t="str">
        <f t="shared" si="251"/>
        <v>S</v>
      </c>
      <c r="R270" s="12">
        <f t="shared" si="252"/>
        <v>304</v>
      </c>
      <c r="S270" s="12" t="str">
        <f t="shared" si="253"/>
        <v>51%</v>
      </c>
      <c r="T270" s="12">
        <f t="shared" si="254"/>
        <v>0</v>
      </c>
      <c r="U270" s="12">
        <f t="shared" si="255"/>
        <v>2</v>
      </c>
      <c r="V270" s="12">
        <f t="shared" si="256"/>
        <v>3</v>
      </c>
      <c r="W270" s="12">
        <f t="shared" si="257"/>
        <v>0</v>
      </c>
      <c r="X270" s="12">
        <f t="shared" si="258"/>
        <v>0</v>
      </c>
      <c r="Y270" s="19"/>
      <c r="Z270" s="20" t="str">
        <f t="shared" si="259"/>
        <v>Ordinary Pass</v>
      </c>
      <c r="AA270" s="12"/>
      <c r="AB270" s="47"/>
    </row>
    <row r="271" spans="2:28" ht="27" customHeight="1">
      <c r="B271" s="9">
        <v>264</v>
      </c>
      <c r="C271" s="16" t="s">
        <v>556</v>
      </c>
      <c r="D271" s="18">
        <v>197769402413</v>
      </c>
      <c r="E271" s="15" t="s">
        <v>557</v>
      </c>
      <c r="F271" s="12">
        <v>43</v>
      </c>
      <c r="G271" s="12" t="str">
        <f t="shared" si="246"/>
        <v>S</v>
      </c>
      <c r="H271" s="12">
        <v>63</v>
      </c>
      <c r="I271" s="12" t="str">
        <f t="shared" si="247"/>
        <v>C</v>
      </c>
      <c r="J271" s="12">
        <v>59</v>
      </c>
      <c r="K271" s="12" t="str">
        <f t="shared" si="248"/>
        <v>C</v>
      </c>
      <c r="L271" s="12">
        <v>41</v>
      </c>
      <c r="M271" s="12" t="str">
        <f t="shared" si="249"/>
        <v>S</v>
      </c>
      <c r="N271" s="12">
        <v>52</v>
      </c>
      <c r="O271" s="12" t="str">
        <f t="shared" si="250"/>
        <v>S</v>
      </c>
      <c r="P271" s="12">
        <v>49</v>
      </c>
      <c r="Q271" s="12" t="str">
        <f t="shared" si="251"/>
        <v>S</v>
      </c>
      <c r="R271" s="12">
        <f t="shared" si="252"/>
        <v>307</v>
      </c>
      <c r="S271" s="12" t="str">
        <f t="shared" si="253"/>
        <v>51%</v>
      </c>
      <c r="T271" s="12">
        <f t="shared" si="254"/>
        <v>0</v>
      </c>
      <c r="U271" s="12">
        <f t="shared" si="255"/>
        <v>2</v>
      </c>
      <c r="V271" s="12">
        <f t="shared" si="256"/>
        <v>3</v>
      </c>
      <c r="W271" s="12">
        <f t="shared" si="257"/>
        <v>0</v>
      </c>
      <c r="X271" s="12">
        <f t="shared" si="258"/>
        <v>0</v>
      </c>
      <c r="Y271" s="19"/>
      <c r="Z271" s="20" t="str">
        <f t="shared" si="259"/>
        <v>Ordinary Pass</v>
      </c>
      <c r="AA271" s="12"/>
      <c r="AB271" s="47"/>
    </row>
    <row r="272" spans="2:28" ht="27" customHeight="1">
      <c r="B272" s="9">
        <v>265</v>
      </c>
      <c r="C272" s="16" t="s">
        <v>558</v>
      </c>
      <c r="D272" s="18" t="s">
        <v>559</v>
      </c>
      <c r="E272" s="15" t="s">
        <v>560</v>
      </c>
      <c r="F272" s="12">
        <v>45</v>
      </c>
      <c r="G272" s="12" t="str">
        <f t="shared" si="246"/>
        <v>S</v>
      </c>
      <c r="H272" s="12">
        <v>60</v>
      </c>
      <c r="I272" s="12" t="str">
        <f t="shared" si="247"/>
        <v>C</v>
      </c>
      <c r="J272" s="12">
        <v>67</v>
      </c>
      <c r="K272" s="12" t="str">
        <f t="shared" si="248"/>
        <v>C</v>
      </c>
      <c r="L272" s="12">
        <v>43</v>
      </c>
      <c r="M272" s="12" t="str">
        <f t="shared" si="249"/>
        <v>S</v>
      </c>
      <c r="N272" s="12">
        <v>64</v>
      </c>
      <c r="O272" s="12" t="str">
        <f t="shared" si="250"/>
        <v>C</v>
      </c>
      <c r="P272" s="12">
        <v>41</v>
      </c>
      <c r="Q272" s="12" t="str">
        <f t="shared" si="251"/>
        <v>S</v>
      </c>
      <c r="R272" s="12">
        <f t="shared" si="252"/>
        <v>320</v>
      </c>
      <c r="S272" s="12" t="str">
        <f t="shared" si="253"/>
        <v>53%</v>
      </c>
      <c r="T272" s="12">
        <f t="shared" si="254"/>
        <v>0</v>
      </c>
      <c r="U272" s="12">
        <f t="shared" si="255"/>
        <v>3</v>
      </c>
      <c r="V272" s="12">
        <f t="shared" si="256"/>
        <v>2</v>
      </c>
      <c r="W272" s="12">
        <f t="shared" si="257"/>
        <v>0</v>
      </c>
      <c r="X272" s="12">
        <f t="shared" si="258"/>
        <v>0</v>
      </c>
      <c r="Y272" s="19"/>
      <c r="Z272" s="20" t="str">
        <f t="shared" si="259"/>
        <v>Ordinary Pass</v>
      </c>
      <c r="AA272" s="12"/>
      <c r="AB272" s="47"/>
    </row>
    <row r="273" spans="2:28" ht="27" customHeight="1">
      <c r="B273" s="9">
        <v>266</v>
      </c>
      <c r="C273" s="16" t="s">
        <v>561</v>
      </c>
      <c r="D273" s="18" t="s">
        <v>562</v>
      </c>
      <c r="E273" s="15" t="s">
        <v>563</v>
      </c>
      <c r="F273" s="12">
        <v>77</v>
      </c>
      <c r="G273" s="12" t="str">
        <f t="shared" si="246"/>
        <v>D</v>
      </c>
      <c r="H273" s="12">
        <v>69</v>
      </c>
      <c r="I273" s="12" t="str">
        <f t="shared" si="247"/>
        <v>C</v>
      </c>
      <c r="J273" s="12">
        <v>84</v>
      </c>
      <c r="K273" s="12" t="str">
        <f t="shared" si="248"/>
        <v>D</v>
      </c>
      <c r="L273" s="12">
        <v>55</v>
      </c>
      <c r="M273" s="12" t="str">
        <f t="shared" si="249"/>
        <v>C</v>
      </c>
      <c r="N273" s="12">
        <v>69</v>
      </c>
      <c r="O273" s="12" t="str">
        <f t="shared" si="250"/>
        <v>C</v>
      </c>
      <c r="P273" s="12">
        <v>58</v>
      </c>
      <c r="Q273" s="12" t="str">
        <f t="shared" si="251"/>
        <v>C</v>
      </c>
      <c r="R273" s="12">
        <f t="shared" si="252"/>
        <v>412</v>
      </c>
      <c r="S273" s="12" t="str">
        <f t="shared" si="253"/>
        <v>69%</v>
      </c>
      <c r="T273" s="12">
        <f t="shared" si="254"/>
        <v>2</v>
      </c>
      <c r="U273" s="12">
        <f t="shared" si="255"/>
        <v>4</v>
      </c>
      <c r="V273" s="12">
        <f t="shared" si="256"/>
        <v>0</v>
      </c>
      <c r="W273" s="12">
        <f t="shared" si="257"/>
        <v>0</v>
      </c>
      <c r="X273" s="12">
        <f t="shared" si="258"/>
        <v>0</v>
      </c>
      <c r="Y273" s="19"/>
      <c r="Z273" s="20" t="s">
        <v>10</v>
      </c>
      <c r="AA273" s="12"/>
      <c r="AB273" s="47"/>
    </row>
    <row r="274" spans="2:28" ht="27" customHeight="1">
      <c r="B274" s="9">
        <v>267</v>
      </c>
      <c r="C274" s="16" t="s">
        <v>564</v>
      </c>
      <c r="D274" s="18" t="s">
        <v>565</v>
      </c>
      <c r="E274" s="15" t="s">
        <v>566</v>
      </c>
      <c r="F274" s="12">
        <v>48</v>
      </c>
      <c r="G274" s="12" t="str">
        <f t="shared" si="246"/>
        <v>S</v>
      </c>
      <c r="H274" s="12">
        <v>76</v>
      </c>
      <c r="I274" s="12" t="str">
        <f t="shared" si="247"/>
        <v>D</v>
      </c>
      <c r="J274" s="12">
        <v>55</v>
      </c>
      <c r="K274" s="12" t="str">
        <f t="shared" si="248"/>
        <v>C</v>
      </c>
      <c r="L274" s="12">
        <v>54</v>
      </c>
      <c r="M274" s="12" t="str">
        <f t="shared" si="249"/>
        <v>S</v>
      </c>
      <c r="N274" s="12">
        <v>58</v>
      </c>
      <c r="O274" s="12" t="str">
        <f t="shared" si="250"/>
        <v>C</v>
      </c>
      <c r="P274" s="12">
        <v>44</v>
      </c>
      <c r="Q274" s="12" t="str">
        <f t="shared" si="251"/>
        <v>S</v>
      </c>
      <c r="R274" s="12">
        <f t="shared" si="252"/>
        <v>335</v>
      </c>
      <c r="S274" s="12" t="str">
        <f t="shared" si="253"/>
        <v>56%</v>
      </c>
      <c r="T274" s="12">
        <f t="shared" si="254"/>
        <v>1</v>
      </c>
      <c r="U274" s="12">
        <f t="shared" si="255"/>
        <v>2</v>
      </c>
      <c r="V274" s="12">
        <f t="shared" si="256"/>
        <v>2</v>
      </c>
      <c r="W274" s="12">
        <f t="shared" si="257"/>
        <v>0</v>
      </c>
      <c r="X274" s="12">
        <f t="shared" si="258"/>
        <v>0</v>
      </c>
      <c r="Y274" s="19"/>
      <c r="Z274" s="20" t="str">
        <f t="shared" si="259"/>
        <v>Ordinary Pass</v>
      </c>
      <c r="AA274" s="12"/>
      <c r="AB274" s="47"/>
    </row>
    <row r="275" spans="2:28" ht="27" customHeight="1">
      <c r="B275" s="9">
        <v>268</v>
      </c>
      <c r="C275" s="16" t="s">
        <v>567</v>
      </c>
      <c r="D275" s="18" t="s">
        <v>568</v>
      </c>
      <c r="E275" s="15" t="s">
        <v>569</v>
      </c>
      <c r="F275" s="12">
        <v>48</v>
      </c>
      <c r="G275" s="12" t="str">
        <f t="shared" si="246"/>
        <v>S</v>
      </c>
      <c r="H275" s="12">
        <v>50</v>
      </c>
      <c r="I275" s="12" t="str">
        <f t="shared" si="247"/>
        <v>S</v>
      </c>
      <c r="J275" s="12">
        <v>57</v>
      </c>
      <c r="K275" s="12" t="str">
        <f t="shared" si="248"/>
        <v>C</v>
      </c>
      <c r="L275" s="12">
        <v>40</v>
      </c>
      <c r="M275" s="12" t="str">
        <f t="shared" si="249"/>
        <v>S</v>
      </c>
      <c r="N275" s="12">
        <v>63</v>
      </c>
      <c r="O275" s="12" t="str">
        <f t="shared" si="250"/>
        <v>C</v>
      </c>
      <c r="P275" s="12">
        <v>43</v>
      </c>
      <c r="Q275" s="12" t="str">
        <f t="shared" si="251"/>
        <v>S</v>
      </c>
      <c r="R275" s="12">
        <f t="shared" si="252"/>
        <v>301</v>
      </c>
      <c r="S275" s="12" t="str">
        <f t="shared" si="253"/>
        <v>50%</v>
      </c>
      <c r="T275" s="12">
        <f t="shared" si="254"/>
        <v>0</v>
      </c>
      <c r="U275" s="12">
        <f t="shared" si="255"/>
        <v>2</v>
      </c>
      <c r="V275" s="12">
        <f t="shared" si="256"/>
        <v>3</v>
      </c>
      <c r="W275" s="12">
        <f t="shared" si="257"/>
        <v>0</v>
      </c>
      <c r="X275" s="12">
        <f t="shared" si="258"/>
        <v>0</v>
      </c>
      <c r="Y275" s="19"/>
      <c r="Z275" s="20" t="str">
        <f t="shared" si="259"/>
        <v>Ordinary Pass</v>
      </c>
      <c r="AA275" s="12"/>
      <c r="AB275" s="47"/>
    </row>
    <row r="276" spans="2:28" ht="27" customHeight="1">
      <c r="B276" s="9">
        <v>269</v>
      </c>
      <c r="C276" s="16" t="s">
        <v>570</v>
      </c>
      <c r="D276" s="18">
        <v>198726401556</v>
      </c>
      <c r="E276" s="15" t="s">
        <v>571</v>
      </c>
      <c r="F276" s="12">
        <v>29</v>
      </c>
      <c r="G276" s="12" t="str">
        <f t="shared" si="246"/>
        <v>F</v>
      </c>
      <c r="H276" s="12">
        <v>39</v>
      </c>
      <c r="I276" s="12" t="str">
        <f t="shared" si="247"/>
        <v>S</v>
      </c>
      <c r="J276" s="12">
        <v>26</v>
      </c>
      <c r="K276" s="12" t="str">
        <f t="shared" si="248"/>
        <v>F</v>
      </c>
      <c r="L276" s="12">
        <v>38</v>
      </c>
      <c r="M276" s="12" t="str">
        <f t="shared" si="249"/>
        <v>S</v>
      </c>
      <c r="N276" s="12">
        <v>41</v>
      </c>
      <c r="O276" s="12" t="str">
        <f t="shared" si="250"/>
        <v>S</v>
      </c>
      <c r="P276" s="12">
        <v>26</v>
      </c>
      <c r="Q276" s="12" t="str">
        <f t="shared" si="251"/>
        <v>F</v>
      </c>
      <c r="R276" s="12">
        <f t="shared" si="252"/>
        <v>199</v>
      </c>
      <c r="S276" s="12" t="str">
        <f t="shared" si="253"/>
        <v>33%</v>
      </c>
      <c r="T276" s="12">
        <f t="shared" si="254"/>
        <v>0</v>
      </c>
      <c r="U276" s="12">
        <f t="shared" si="255"/>
        <v>0</v>
      </c>
      <c r="V276" s="12">
        <f t="shared" si="256"/>
        <v>3</v>
      </c>
      <c r="W276" s="12">
        <f t="shared" si="257"/>
        <v>2</v>
      </c>
      <c r="X276" s="12">
        <f t="shared" si="258"/>
        <v>0</v>
      </c>
      <c r="Y276" s="19"/>
      <c r="Z276" s="20" t="s">
        <v>8</v>
      </c>
      <c r="AA276" s="12"/>
      <c r="AB276" s="47"/>
    </row>
    <row r="277" spans="2:28" ht="27" customHeight="1">
      <c r="B277" s="9">
        <v>270</v>
      </c>
      <c r="C277" s="16" t="s">
        <v>572</v>
      </c>
      <c r="D277" s="18" t="s">
        <v>573</v>
      </c>
      <c r="E277" s="15" t="s">
        <v>574</v>
      </c>
      <c r="F277" s="12">
        <v>65</v>
      </c>
      <c r="G277" s="12" t="str">
        <f t="shared" si="246"/>
        <v>C</v>
      </c>
      <c r="H277" s="12">
        <v>50</v>
      </c>
      <c r="I277" s="12" t="str">
        <f t="shared" si="247"/>
        <v>S</v>
      </c>
      <c r="J277" s="12">
        <v>63</v>
      </c>
      <c r="K277" s="12" t="str">
        <f t="shared" si="248"/>
        <v>C</v>
      </c>
      <c r="L277" s="12">
        <v>53</v>
      </c>
      <c r="M277" s="12" t="str">
        <f t="shared" si="249"/>
        <v>S</v>
      </c>
      <c r="N277" s="12">
        <v>67</v>
      </c>
      <c r="O277" s="12" t="str">
        <f t="shared" si="250"/>
        <v>C</v>
      </c>
      <c r="P277" s="12">
        <v>51</v>
      </c>
      <c r="Q277" s="12" t="str">
        <f t="shared" si="251"/>
        <v>S</v>
      </c>
      <c r="R277" s="12">
        <f t="shared" si="252"/>
        <v>349</v>
      </c>
      <c r="S277" s="12" t="str">
        <f t="shared" si="253"/>
        <v>58%</v>
      </c>
      <c r="T277" s="12">
        <f t="shared" si="254"/>
        <v>0</v>
      </c>
      <c r="U277" s="12">
        <f t="shared" si="255"/>
        <v>3</v>
      </c>
      <c r="V277" s="12">
        <f t="shared" si="256"/>
        <v>3</v>
      </c>
      <c r="W277" s="12">
        <f t="shared" si="257"/>
        <v>0</v>
      </c>
      <c r="X277" s="12">
        <f t="shared" si="258"/>
        <v>0</v>
      </c>
      <c r="Y277" s="19"/>
      <c r="Z277" s="20" t="str">
        <f t="shared" si="259"/>
        <v>Ordinary Pass</v>
      </c>
      <c r="AA277" s="12"/>
      <c r="AB277" s="47"/>
    </row>
    <row r="278" spans="2:28" ht="27" customHeight="1">
      <c r="B278" s="9">
        <v>271</v>
      </c>
      <c r="C278" s="16" t="s">
        <v>575</v>
      </c>
      <c r="D278" s="18">
        <v>196621501157</v>
      </c>
      <c r="E278" s="15" t="s">
        <v>576</v>
      </c>
      <c r="F278" s="12">
        <v>47</v>
      </c>
      <c r="G278" s="12" t="str">
        <f t="shared" si="246"/>
        <v>S</v>
      </c>
      <c r="H278" s="12">
        <v>47</v>
      </c>
      <c r="I278" s="12" t="str">
        <f t="shared" si="247"/>
        <v>S</v>
      </c>
      <c r="J278" s="12">
        <v>16</v>
      </c>
      <c r="K278" s="12" t="str">
        <f t="shared" si="248"/>
        <v>F</v>
      </c>
      <c r="L278" s="12">
        <v>38</v>
      </c>
      <c r="M278" s="12" t="str">
        <f t="shared" si="249"/>
        <v>S</v>
      </c>
      <c r="N278" s="12">
        <v>54</v>
      </c>
      <c r="O278" s="12" t="str">
        <f t="shared" si="250"/>
        <v>S</v>
      </c>
      <c r="P278" s="12">
        <v>24</v>
      </c>
      <c r="Q278" s="12" t="str">
        <f t="shared" si="251"/>
        <v>F</v>
      </c>
      <c r="R278" s="12">
        <f t="shared" si="252"/>
        <v>226</v>
      </c>
      <c r="S278" s="12" t="str">
        <f t="shared" si="253"/>
        <v>38%</v>
      </c>
      <c r="T278" s="12">
        <f t="shared" si="254"/>
        <v>0</v>
      </c>
      <c r="U278" s="12">
        <f t="shared" si="255"/>
        <v>0</v>
      </c>
      <c r="V278" s="12">
        <f t="shared" si="256"/>
        <v>3</v>
      </c>
      <c r="W278" s="12">
        <f t="shared" si="257"/>
        <v>2</v>
      </c>
      <c r="X278" s="12">
        <f t="shared" si="258"/>
        <v>0</v>
      </c>
      <c r="Y278" s="19"/>
      <c r="Z278" s="20" t="s">
        <v>6</v>
      </c>
      <c r="AA278" s="12" t="s">
        <v>577</v>
      </c>
      <c r="AB278" s="47"/>
    </row>
    <row r="279" spans="2:28" ht="27" customHeight="1">
      <c r="B279" s="9">
        <v>272</v>
      </c>
      <c r="C279" s="16" t="s">
        <v>578</v>
      </c>
      <c r="D279" s="18" t="s">
        <v>579</v>
      </c>
      <c r="E279" s="15" t="s">
        <v>580</v>
      </c>
      <c r="F279" s="12" t="s">
        <v>14</v>
      </c>
      <c r="G279" s="12" t="str">
        <f t="shared" si="246"/>
        <v>AB</v>
      </c>
      <c r="H279" s="12" t="s">
        <v>14</v>
      </c>
      <c r="I279" s="12" t="str">
        <f t="shared" si="247"/>
        <v>AB</v>
      </c>
      <c r="J279" s="12" t="s">
        <v>14</v>
      </c>
      <c r="K279" s="12" t="str">
        <f t="shared" si="248"/>
        <v>AB</v>
      </c>
      <c r="L279" s="12" t="s">
        <v>14</v>
      </c>
      <c r="M279" s="12" t="str">
        <f t="shared" si="249"/>
        <v>AB</v>
      </c>
      <c r="N279" s="12" t="s">
        <v>14</v>
      </c>
      <c r="O279" s="12" t="str">
        <f t="shared" si="250"/>
        <v>AB</v>
      </c>
      <c r="P279" s="12" t="s">
        <v>14</v>
      </c>
      <c r="Q279" s="12" t="str">
        <f t="shared" si="251"/>
        <v>AB</v>
      </c>
      <c r="R279" s="12">
        <v>0</v>
      </c>
      <c r="S279" s="12" t="str">
        <f t="shared" si="253"/>
        <v>0%</v>
      </c>
      <c r="T279" s="12">
        <f t="shared" si="254"/>
        <v>0</v>
      </c>
      <c r="U279" s="12">
        <f t="shared" si="255"/>
        <v>0</v>
      </c>
      <c r="V279" s="12">
        <f t="shared" si="256"/>
        <v>0</v>
      </c>
      <c r="W279" s="12">
        <f t="shared" si="257"/>
        <v>0</v>
      </c>
      <c r="X279" s="12">
        <f t="shared" si="258"/>
        <v>6</v>
      </c>
      <c r="Y279" s="19"/>
      <c r="Z279" s="20" t="s">
        <v>7</v>
      </c>
      <c r="AA279" s="12"/>
      <c r="AB279" s="47"/>
    </row>
    <row r="280" spans="2:28" ht="27" customHeight="1">
      <c r="B280" s="9">
        <v>273</v>
      </c>
      <c r="C280" s="16" t="s">
        <v>581</v>
      </c>
      <c r="D280" s="18" t="s">
        <v>582</v>
      </c>
      <c r="E280" s="15" t="s">
        <v>583</v>
      </c>
      <c r="F280" s="12">
        <v>71</v>
      </c>
      <c r="G280" s="12" t="str">
        <f t="shared" si="246"/>
        <v>C</v>
      </c>
      <c r="H280" s="12">
        <v>82</v>
      </c>
      <c r="I280" s="12" t="str">
        <f t="shared" si="247"/>
        <v>D</v>
      </c>
      <c r="J280" s="12">
        <v>84</v>
      </c>
      <c r="K280" s="12" t="str">
        <f t="shared" si="248"/>
        <v>D</v>
      </c>
      <c r="L280" s="12">
        <v>69</v>
      </c>
      <c r="M280" s="12" t="str">
        <f t="shared" si="249"/>
        <v>C</v>
      </c>
      <c r="N280" s="12">
        <v>75</v>
      </c>
      <c r="O280" s="12" t="str">
        <f t="shared" si="250"/>
        <v>D</v>
      </c>
      <c r="P280" s="12">
        <v>64</v>
      </c>
      <c r="Q280" s="12" t="str">
        <f t="shared" si="251"/>
        <v>C</v>
      </c>
      <c r="R280" s="12">
        <f t="shared" si="252"/>
        <v>445</v>
      </c>
      <c r="S280" s="12" t="str">
        <f t="shared" si="253"/>
        <v>74%</v>
      </c>
      <c r="T280" s="12">
        <f t="shared" si="254"/>
        <v>3</v>
      </c>
      <c r="U280" s="12">
        <f t="shared" si="255"/>
        <v>3</v>
      </c>
      <c r="V280" s="12">
        <f t="shared" si="256"/>
        <v>0</v>
      </c>
      <c r="W280" s="12">
        <f t="shared" si="257"/>
        <v>0</v>
      </c>
      <c r="X280" s="12">
        <f t="shared" si="258"/>
        <v>0</v>
      </c>
      <c r="Y280" s="19"/>
      <c r="Z280" s="20" t="s">
        <v>10</v>
      </c>
      <c r="AA280" s="12"/>
      <c r="AB280" s="47"/>
    </row>
    <row r="281" spans="2:28" ht="27" customHeight="1">
      <c r="B281" s="9">
        <v>274</v>
      </c>
      <c r="C281" s="16" t="s">
        <v>584</v>
      </c>
      <c r="D281" s="18" t="s">
        <v>585</v>
      </c>
      <c r="E281" s="15" t="s">
        <v>586</v>
      </c>
      <c r="F281" s="12">
        <v>62</v>
      </c>
      <c r="G281" s="12" t="str">
        <f t="shared" si="246"/>
        <v>C</v>
      </c>
      <c r="H281" s="12">
        <v>63</v>
      </c>
      <c r="I281" s="12" t="str">
        <f t="shared" si="247"/>
        <v>C</v>
      </c>
      <c r="J281" s="12">
        <v>73</v>
      </c>
      <c r="K281" s="12" t="str">
        <f t="shared" si="248"/>
        <v>C</v>
      </c>
      <c r="L281" s="12">
        <v>56</v>
      </c>
      <c r="M281" s="12" t="str">
        <f t="shared" si="249"/>
        <v>C</v>
      </c>
      <c r="N281" s="12">
        <v>63</v>
      </c>
      <c r="O281" s="12" t="str">
        <f t="shared" si="250"/>
        <v>C</v>
      </c>
      <c r="P281" s="12">
        <v>55</v>
      </c>
      <c r="Q281" s="12" t="str">
        <f t="shared" si="251"/>
        <v>C</v>
      </c>
      <c r="R281" s="12">
        <f t="shared" si="252"/>
        <v>372</v>
      </c>
      <c r="S281" s="12" t="str">
        <f t="shared" si="253"/>
        <v>62%</v>
      </c>
      <c r="T281" s="12">
        <f t="shared" si="254"/>
        <v>0</v>
      </c>
      <c r="U281" s="12">
        <f t="shared" si="255"/>
        <v>6</v>
      </c>
      <c r="V281" s="12">
        <f t="shared" si="256"/>
        <v>0</v>
      </c>
      <c r="W281" s="12">
        <f t="shared" si="257"/>
        <v>0</v>
      </c>
      <c r="X281" s="12">
        <f t="shared" si="258"/>
        <v>0</v>
      </c>
      <c r="Y281" s="19"/>
      <c r="Z281" s="20" t="s">
        <v>784</v>
      </c>
      <c r="AA281" s="12"/>
      <c r="AB281" s="47"/>
    </row>
    <row r="282" spans="2:28" ht="27" customHeight="1">
      <c r="B282" s="9">
        <v>275</v>
      </c>
      <c r="C282" s="16" t="s">
        <v>587</v>
      </c>
      <c r="D282" s="18" t="s">
        <v>588</v>
      </c>
      <c r="E282" s="15" t="s">
        <v>589</v>
      </c>
      <c r="F282" s="12">
        <v>69</v>
      </c>
      <c r="G282" s="12" t="str">
        <f t="shared" si="246"/>
        <v>C</v>
      </c>
      <c r="H282" s="12">
        <v>75</v>
      </c>
      <c r="I282" s="12" t="str">
        <f t="shared" si="247"/>
        <v>D</v>
      </c>
      <c r="J282" s="12">
        <v>84</v>
      </c>
      <c r="K282" s="12" t="str">
        <f t="shared" si="248"/>
        <v>D</v>
      </c>
      <c r="L282" s="12">
        <v>62</v>
      </c>
      <c r="M282" s="12" t="str">
        <f t="shared" si="249"/>
        <v>C</v>
      </c>
      <c r="N282" s="12">
        <v>57</v>
      </c>
      <c r="O282" s="12" t="str">
        <f t="shared" si="250"/>
        <v>C</v>
      </c>
      <c r="P282" s="12">
        <v>55</v>
      </c>
      <c r="Q282" s="12" t="str">
        <f t="shared" si="251"/>
        <v>C</v>
      </c>
      <c r="R282" s="12">
        <f t="shared" si="252"/>
        <v>402</v>
      </c>
      <c r="S282" s="12" t="str">
        <f t="shared" si="253"/>
        <v>67%</v>
      </c>
      <c r="T282" s="12">
        <f t="shared" si="254"/>
        <v>2</v>
      </c>
      <c r="U282" s="12">
        <f t="shared" si="255"/>
        <v>4</v>
      </c>
      <c r="V282" s="12">
        <f t="shared" si="256"/>
        <v>0</v>
      </c>
      <c r="W282" s="12">
        <f t="shared" si="257"/>
        <v>0</v>
      </c>
      <c r="X282" s="12">
        <f t="shared" si="258"/>
        <v>0</v>
      </c>
      <c r="Y282" s="19"/>
      <c r="Z282" s="20" t="s">
        <v>10</v>
      </c>
      <c r="AA282" s="12"/>
      <c r="AB282" s="47"/>
    </row>
    <row r="283" spans="2:28" ht="27" customHeight="1">
      <c r="B283" s="9">
        <v>276</v>
      </c>
      <c r="C283" s="16" t="s">
        <v>590</v>
      </c>
      <c r="D283" s="18">
        <v>200085803183</v>
      </c>
      <c r="E283" s="15" t="s">
        <v>591</v>
      </c>
      <c r="F283" s="12">
        <v>80</v>
      </c>
      <c r="G283" s="12" t="str">
        <f t="shared" si="246"/>
        <v>D</v>
      </c>
      <c r="H283" s="12">
        <v>72</v>
      </c>
      <c r="I283" s="12" t="str">
        <f t="shared" si="247"/>
        <v>C</v>
      </c>
      <c r="J283" s="12">
        <v>73</v>
      </c>
      <c r="K283" s="12" t="str">
        <f t="shared" si="248"/>
        <v>C</v>
      </c>
      <c r="L283" s="12">
        <v>56</v>
      </c>
      <c r="M283" s="12" t="str">
        <f t="shared" si="249"/>
        <v>C</v>
      </c>
      <c r="N283" s="12">
        <v>67</v>
      </c>
      <c r="O283" s="12" t="str">
        <f t="shared" si="250"/>
        <v>C</v>
      </c>
      <c r="P283" s="12">
        <v>66</v>
      </c>
      <c r="Q283" s="12" t="str">
        <f t="shared" si="251"/>
        <v>C</v>
      </c>
      <c r="R283" s="12">
        <f t="shared" si="252"/>
        <v>414</v>
      </c>
      <c r="S283" s="12" t="str">
        <f t="shared" si="253"/>
        <v>69%</v>
      </c>
      <c r="T283" s="12">
        <f t="shared" si="254"/>
        <v>1</v>
      </c>
      <c r="U283" s="12">
        <f t="shared" si="255"/>
        <v>5</v>
      </c>
      <c r="V283" s="12">
        <f t="shared" si="256"/>
        <v>0</v>
      </c>
      <c r="W283" s="12">
        <f t="shared" si="257"/>
        <v>0</v>
      </c>
      <c r="X283" s="12">
        <f t="shared" si="258"/>
        <v>0</v>
      </c>
      <c r="Y283" s="19"/>
      <c r="Z283" s="20" t="s">
        <v>10</v>
      </c>
      <c r="AA283" s="12"/>
      <c r="AB283" s="47"/>
    </row>
    <row r="284" spans="2:28" ht="27" customHeight="1">
      <c r="B284" s="9">
        <v>277</v>
      </c>
      <c r="C284" s="16" t="s">
        <v>592</v>
      </c>
      <c r="D284" s="18" t="s">
        <v>593</v>
      </c>
      <c r="E284" s="15" t="s">
        <v>594</v>
      </c>
      <c r="F284" s="12">
        <v>62</v>
      </c>
      <c r="G284" s="12" t="str">
        <f t="shared" si="246"/>
        <v>C</v>
      </c>
      <c r="H284" s="12">
        <v>57</v>
      </c>
      <c r="I284" s="12" t="str">
        <f t="shared" si="247"/>
        <v>C</v>
      </c>
      <c r="J284" s="12">
        <v>72</v>
      </c>
      <c r="K284" s="12" t="str">
        <f t="shared" si="248"/>
        <v>C</v>
      </c>
      <c r="L284" s="12">
        <v>55</v>
      </c>
      <c r="M284" s="12" t="str">
        <f t="shared" si="249"/>
        <v>C</v>
      </c>
      <c r="N284" s="12">
        <v>75</v>
      </c>
      <c r="O284" s="12" t="str">
        <f t="shared" si="250"/>
        <v>D</v>
      </c>
      <c r="P284" s="12">
        <v>58</v>
      </c>
      <c r="Q284" s="12" t="str">
        <f t="shared" si="251"/>
        <v>C</v>
      </c>
      <c r="R284" s="12">
        <f t="shared" si="252"/>
        <v>379</v>
      </c>
      <c r="S284" s="12" t="str">
        <f t="shared" si="253"/>
        <v>63%</v>
      </c>
      <c r="T284" s="12">
        <f t="shared" si="254"/>
        <v>1</v>
      </c>
      <c r="U284" s="12">
        <f t="shared" si="255"/>
        <v>5</v>
      </c>
      <c r="V284" s="12">
        <f t="shared" si="256"/>
        <v>0</v>
      </c>
      <c r="W284" s="12">
        <f t="shared" si="257"/>
        <v>0</v>
      </c>
      <c r="X284" s="12">
        <f t="shared" si="258"/>
        <v>0</v>
      </c>
      <c r="Y284" s="19"/>
      <c r="Z284" s="20" t="s">
        <v>784</v>
      </c>
      <c r="AA284" s="12"/>
      <c r="AB284" s="47"/>
    </row>
    <row r="285" spans="2:28" ht="27" customHeight="1">
      <c r="B285" s="9">
        <v>278</v>
      </c>
      <c r="C285" s="16" t="s">
        <v>595</v>
      </c>
      <c r="D285" s="18">
        <v>200081301118</v>
      </c>
      <c r="E285" s="15" t="s">
        <v>596</v>
      </c>
      <c r="F285" s="12">
        <v>48</v>
      </c>
      <c r="G285" s="12" t="str">
        <f t="shared" si="246"/>
        <v>S</v>
      </c>
      <c r="H285" s="12">
        <v>54</v>
      </c>
      <c r="I285" s="12" t="str">
        <f t="shared" si="247"/>
        <v>S</v>
      </c>
      <c r="J285" s="12">
        <v>14</v>
      </c>
      <c r="K285" s="12" t="str">
        <f t="shared" si="248"/>
        <v>F</v>
      </c>
      <c r="L285" s="12">
        <v>40</v>
      </c>
      <c r="M285" s="12" t="str">
        <f t="shared" si="249"/>
        <v>S</v>
      </c>
      <c r="N285" s="12">
        <v>64</v>
      </c>
      <c r="O285" s="12" t="str">
        <f t="shared" si="250"/>
        <v>C</v>
      </c>
      <c r="P285" s="12">
        <v>42</v>
      </c>
      <c r="Q285" s="12" t="str">
        <f t="shared" si="251"/>
        <v>S</v>
      </c>
      <c r="R285" s="12">
        <f t="shared" si="252"/>
        <v>262</v>
      </c>
      <c r="S285" s="12" t="str">
        <f t="shared" si="253"/>
        <v>44%</v>
      </c>
      <c r="T285" s="12">
        <f t="shared" si="254"/>
        <v>0</v>
      </c>
      <c r="U285" s="12">
        <f t="shared" si="255"/>
        <v>1</v>
      </c>
      <c r="V285" s="12">
        <f t="shared" si="256"/>
        <v>3</v>
      </c>
      <c r="W285" s="12">
        <f t="shared" si="257"/>
        <v>1</v>
      </c>
      <c r="X285" s="12">
        <f t="shared" si="258"/>
        <v>0</v>
      </c>
      <c r="Y285" s="19"/>
      <c r="Z285" s="20" t="s">
        <v>6</v>
      </c>
      <c r="AA285" s="12" t="s">
        <v>84</v>
      </c>
      <c r="AB285" s="47"/>
    </row>
    <row r="286" spans="2:28" ht="27" customHeight="1">
      <c r="B286" s="9">
        <v>279</v>
      </c>
      <c r="C286" s="16" t="s">
        <v>597</v>
      </c>
      <c r="D286" s="18" t="s">
        <v>598</v>
      </c>
      <c r="E286" s="15" t="s">
        <v>599</v>
      </c>
      <c r="F286" s="12">
        <v>69</v>
      </c>
      <c r="G286" s="12" t="str">
        <f t="shared" si="246"/>
        <v>C</v>
      </c>
      <c r="H286" s="12">
        <v>68</v>
      </c>
      <c r="I286" s="12" t="str">
        <f t="shared" si="247"/>
        <v>C</v>
      </c>
      <c r="J286" s="12">
        <v>46</v>
      </c>
      <c r="K286" s="12" t="str">
        <f t="shared" si="248"/>
        <v>S</v>
      </c>
      <c r="L286" s="12">
        <v>51</v>
      </c>
      <c r="M286" s="12" t="str">
        <f t="shared" si="249"/>
        <v>S</v>
      </c>
      <c r="N286" s="12">
        <v>73</v>
      </c>
      <c r="O286" s="12" t="str">
        <f t="shared" si="250"/>
        <v>C</v>
      </c>
      <c r="P286" s="12">
        <v>56</v>
      </c>
      <c r="Q286" s="12" t="str">
        <f t="shared" si="251"/>
        <v>C</v>
      </c>
      <c r="R286" s="12">
        <f t="shared" si="252"/>
        <v>363</v>
      </c>
      <c r="S286" s="12" t="str">
        <f t="shared" si="253"/>
        <v>61%</v>
      </c>
      <c r="T286" s="12">
        <f t="shared" si="254"/>
        <v>0</v>
      </c>
      <c r="U286" s="12">
        <f t="shared" si="255"/>
        <v>4</v>
      </c>
      <c r="V286" s="12">
        <f t="shared" si="256"/>
        <v>2</v>
      </c>
      <c r="W286" s="12">
        <f t="shared" si="257"/>
        <v>0</v>
      </c>
      <c r="X286" s="12">
        <f t="shared" si="258"/>
        <v>0</v>
      </c>
      <c r="Y286" s="19"/>
      <c r="Z286" s="20" t="str">
        <f t="shared" si="259"/>
        <v>Ordinary Pass</v>
      </c>
      <c r="AA286" s="12"/>
      <c r="AB286" s="47"/>
    </row>
    <row r="287" spans="2:28" ht="27" customHeight="1">
      <c r="B287" s="9">
        <v>280</v>
      </c>
      <c r="C287" s="16" t="s">
        <v>600</v>
      </c>
      <c r="D287" s="18">
        <v>200352303488</v>
      </c>
      <c r="E287" s="15" t="s">
        <v>601</v>
      </c>
      <c r="F287" s="12">
        <v>37</v>
      </c>
      <c r="G287" s="12" t="str">
        <f t="shared" si="246"/>
        <v>S</v>
      </c>
      <c r="H287" s="12">
        <v>68</v>
      </c>
      <c r="I287" s="12" t="str">
        <f t="shared" si="247"/>
        <v>C</v>
      </c>
      <c r="J287" s="12">
        <v>53</v>
      </c>
      <c r="K287" s="12" t="str">
        <f t="shared" si="248"/>
        <v>S</v>
      </c>
      <c r="L287" s="12">
        <v>40</v>
      </c>
      <c r="M287" s="12" t="str">
        <f t="shared" si="249"/>
        <v>S</v>
      </c>
      <c r="N287" s="12">
        <v>58</v>
      </c>
      <c r="O287" s="12" t="str">
        <f t="shared" si="250"/>
        <v>C</v>
      </c>
      <c r="P287" s="12">
        <v>50</v>
      </c>
      <c r="Q287" s="12" t="str">
        <f t="shared" si="251"/>
        <v>S</v>
      </c>
      <c r="R287" s="12">
        <f t="shared" si="252"/>
        <v>306</v>
      </c>
      <c r="S287" s="12" t="str">
        <f t="shared" si="253"/>
        <v>51%</v>
      </c>
      <c r="T287" s="12">
        <f t="shared" si="254"/>
        <v>0</v>
      </c>
      <c r="U287" s="12">
        <f t="shared" si="255"/>
        <v>2</v>
      </c>
      <c r="V287" s="12">
        <f t="shared" si="256"/>
        <v>3</v>
      </c>
      <c r="W287" s="12">
        <f t="shared" si="257"/>
        <v>0</v>
      </c>
      <c r="X287" s="12">
        <f t="shared" si="258"/>
        <v>0</v>
      </c>
      <c r="Y287" s="19"/>
      <c r="Z287" s="20" t="str">
        <f t="shared" si="259"/>
        <v>Ordinary Pass</v>
      </c>
      <c r="AA287" s="12"/>
      <c r="AB287" s="47"/>
    </row>
    <row r="288" spans="2:28" ht="27" customHeight="1">
      <c r="B288" s="9">
        <v>281</v>
      </c>
      <c r="C288" s="16" t="s">
        <v>602</v>
      </c>
      <c r="D288" s="18">
        <v>198068701168</v>
      </c>
      <c r="E288" s="15" t="s">
        <v>603</v>
      </c>
      <c r="F288" s="12">
        <v>76</v>
      </c>
      <c r="G288" s="12" t="str">
        <f t="shared" ref="G288:G307" si="260">IF(F288="-", "AB", IF(F288&gt;=75, "D", IF(F288&gt;=55, "C", IF(F288&gt;=35, "S", IF(F288&gt;=0, "F")))))</f>
        <v>D</v>
      </c>
      <c r="H288" s="12">
        <v>63</v>
      </c>
      <c r="I288" s="12" t="str">
        <f t="shared" ref="I288:I307" si="261">IF(H288="-", "AB", IF(H288&gt;=75, "D", IF(H288&gt;=55, "C", IF(H288&gt;=35, "S", IF(H288&gt;=0, "F")))))</f>
        <v>C</v>
      </c>
      <c r="J288" s="12">
        <v>77</v>
      </c>
      <c r="K288" s="12" t="str">
        <f t="shared" ref="K288:K307" si="262">IF(J288="-", "AB", IF(J288&gt;=75, "D", IF(J288&gt;=55, "C", IF(J288&gt;=35, "S", IF(J288&gt;=0, "F")))))</f>
        <v>D</v>
      </c>
      <c r="L288" s="12">
        <v>44</v>
      </c>
      <c r="M288" s="12" t="str">
        <f t="shared" ref="M288:M307" si="263">IF(L288="-", "AB", IF(L288&gt;=75, "D", IF(L288&gt;=55, "C", IF(L288&gt;=35, "S", IF(L288&gt;=0, "F")))))</f>
        <v>S</v>
      </c>
      <c r="N288" s="12">
        <v>69</v>
      </c>
      <c r="O288" s="12" t="str">
        <f t="shared" ref="O288:O307" si="264">IF(N288="-", "AB", IF(N288&gt;=75, "D", IF(N288&gt;=55, "C", IF(N288&gt;=35, "S", IF(N288&gt;=0, "F")))))</f>
        <v>C</v>
      </c>
      <c r="P288" s="12">
        <v>58</v>
      </c>
      <c r="Q288" s="12" t="str">
        <f t="shared" ref="Q288:Q307" si="265">IF(P288="-", "AB", IF(P288&gt;=75, "D", IF(P288&gt;=55, "C", IF(P288&gt;=35, "S", IF(P288&gt;=0, "F")))))</f>
        <v>C</v>
      </c>
      <c r="R288" s="12">
        <f t="shared" ref="R288:R303" si="266">SUM(F288+H288+J288+L288+N288+P288)</f>
        <v>387</v>
      </c>
      <c r="S288" s="12" t="str">
        <f t="shared" ref="S288:S307" si="267">ROUND(R288/6, 0)&amp;"%"</f>
        <v>65%</v>
      </c>
      <c r="T288" s="12">
        <f t="shared" ref="T288:T307" si="268">COUNTIF(F288:Q288, "D")</f>
        <v>2</v>
      </c>
      <c r="U288" s="12">
        <f t="shared" ref="U288:U307" si="269">COUNTIF(G288:T288, "C")</f>
        <v>3</v>
      </c>
      <c r="V288" s="12">
        <f t="shared" ref="V288:V307" si="270">COUNTIF(H288:U288, "S")</f>
        <v>1</v>
      </c>
      <c r="W288" s="12">
        <f t="shared" ref="W288:W307" si="271">COUNTIF(I288:V288, "F")</f>
        <v>0</v>
      </c>
      <c r="X288" s="12">
        <f t="shared" ref="X288:X307" si="272">COUNTIF(F288:W288, "-")</f>
        <v>0</v>
      </c>
      <c r="Y288" s="19"/>
      <c r="Z288" s="20" t="str">
        <f t="shared" ref="Z288:Z301" si="273">IF(X288&gt;0, "Not Completed",
   IF(T288=10, "First Class",
      IF(S288&gt;75, IF(V288&gt;0, "Ordinary Pass", "First Class"),
         IF(S288&gt;65, IF(V288&gt;0, "Ordinary Pass", "Second Class"), "none")
      )
   )
)</f>
        <v>Ordinary Pass</v>
      </c>
      <c r="AA288" s="12"/>
      <c r="AB288" s="47"/>
    </row>
    <row r="289" spans="2:28" ht="27" customHeight="1">
      <c r="B289" s="9">
        <v>282</v>
      </c>
      <c r="C289" s="16" t="s">
        <v>604</v>
      </c>
      <c r="D289" s="18" t="s">
        <v>605</v>
      </c>
      <c r="E289" s="15" t="s">
        <v>606</v>
      </c>
      <c r="F289" s="12">
        <v>39</v>
      </c>
      <c r="G289" s="12" t="str">
        <f t="shared" si="260"/>
        <v>S</v>
      </c>
      <c r="H289" s="12">
        <v>46</v>
      </c>
      <c r="I289" s="12" t="str">
        <f t="shared" si="261"/>
        <v>S</v>
      </c>
      <c r="J289" s="12">
        <v>30</v>
      </c>
      <c r="K289" s="12" t="str">
        <f t="shared" si="262"/>
        <v>F</v>
      </c>
      <c r="L289" s="12">
        <v>40</v>
      </c>
      <c r="M289" s="12" t="str">
        <f t="shared" si="263"/>
        <v>S</v>
      </c>
      <c r="N289" s="12">
        <v>51</v>
      </c>
      <c r="O289" s="12" t="str">
        <f t="shared" si="264"/>
        <v>S</v>
      </c>
      <c r="P289" s="12">
        <v>35</v>
      </c>
      <c r="Q289" s="12" t="str">
        <f t="shared" si="265"/>
        <v>S</v>
      </c>
      <c r="R289" s="12">
        <f t="shared" si="266"/>
        <v>241</v>
      </c>
      <c r="S289" s="12" t="str">
        <f t="shared" si="267"/>
        <v>40%</v>
      </c>
      <c r="T289" s="12">
        <f t="shared" si="268"/>
        <v>0</v>
      </c>
      <c r="U289" s="12">
        <f t="shared" si="269"/>
        <v>0</v>
      </c>
      <c r="V289" s="12">
        <f t="shared" si="270"/>
        <v>4</v>
      </c>
      <c r="W289" s="12">
        <f t="shared" si="271"/>
        <v>1</v>
      </c>
      <c r="X289" s="12">
        <f t="shared" si="272"/>
        <v>0</v>
      </c>
      <c r="Y289" s="19"/>
      <c r="Z289" s="20" t="s">
        <v>6</v>
      </c>
      <c r="AA289" s="12" t="s">
        <v>84</v>
      </c>
      <c r="AB289" s="47"/>
    </row>
    <row r="290" spans="2:28" ht="27" customHeight="1">
      <c r="B290" s="9">
        <v>283</v>
      </c>
      <c r="C290" s="16" t="s">
        <v>1093</v>
      </c>
      <c r="D290" s="18" t="s">
        <v>1094</v>
      </c>
      <c r="E290" s="15" t="s">
        <v>1095</v>
      </c>
      <c r="F290" s="12">
        <v>77</v>
      </c>
      <c r="G290" s="12" t="str">
        <f t="shared" si="260"/>
        <v>D</v>
      </c>
      <c r="H290" s="12">
        <v>69</v>
      </c>
      <c r="I290" s="12" t="str">
        <f t="shared" si="261"/>
        <v>C</v>
      </c>
      <c r="J290" s="12">
        <v>72</v>
      </c>
      <c r="K290" s="12" t="str">
        <f t="shared" si="262"/>
        <v>C</v>
      </c>
      <c r="L290" s="12">
        <v>44</v>
      </c>
      <c r="M290" s="12" t="str">
        <f t="shared" si="263"/>
        <v>S</v>
      </c>
      <c r="N290" s="12">
        <v>63</v>
      </c>
      <c r="O290" s="12" t="str">
        <f t="shared" si="264"/>
        <v>C</v>
      </c>
      <c r="P290" s="12">
        <v>57</v>
      </c>
      <c r="Q290" s="12" t="str">
        <f t="shared" si="265"/>
        <v>C</v>
      </c>
      <c r="R290" s="12">
        <f t="shared" si="266"/>
        <v>382</v>
      </c>
      <c r="S290" s="12" t="str">
        <f t="shared" si="267"/>
        <v>64%</v>
      </c>
      <c r="T290" s="12">
        <f t="shared" si="268"/>
        <v>1</v>
      </c>
      <c r="U290" s="12">
        <f t="shared" si="269"/>
        <v>4</v>
      </c>
      <c r="V290" s="12">
        <f t="shared" si="270"/>
        <v>1</v>
      </c>
      <c r="W290" s="12">
        <f t="shared" si="271"/>
        <v>0</v>
      </c>
      <c r="X290" s="12">
        <f t="shared" si="272"/>
        <v>0</v>
      </c>
      <c r="Y290" s="19"/>
      <c r="Z290" s="20" t="str">
        <f t="shared" si="273"/>
        <v>Ordinary Pass</v>
      </c>
      <c r="AA290" s="12"/>
      <c r="AB290" s="47"/>
    </row>
    <row r="291" spans="2:28" ht="27" customHeight="1">
      <c r="B291" s="9">
        <v>284</v>
      </c>
      <c r="C291" s="16" t="s">
        <v>607</v>
      </c>
      <c r="D291" s="18" t="s">
        <v>608</v>
      </c>
      <c r="E291" s="15" t="s">
        <v>609</v>
      </c>
      <c r="F291" s="12">
        <v>30</v>
      </c>
      <c r="G291" s="12" t="str">
        <f t="shared" si="260"/>
        <v>F</v>
      </c>
      <c r="H291" s="12">
        <v>48</v>
      </c>
      <c r="I291" s="12" t="str">
        <f t="shared" si="261"/>
        <v>S</v>
      </c>
      <c r="J291" s="12">
        <v>16</v>
      </c>
      <c r="K291" s="12" t="str">
        <f t="shared" si="262"/>
        <v>F</v>
      </c>
      <c r="L291" s="12">
        <v>35</v>
      </c>
      <c r="M291" s="12" t="str">
        <f t="shared" si="263"/>
        <v>S</v>
      </c>
      <c r="N291" s="12">
        <v>53</v>
      </c>
      <c r="O291" s="12" t="str">
        <f t="shared" si="264"/>
        <v>S</v>
      </c>
      <c r="P291" s="12">
        <v>35</v>
      </c>
      <c r="Q291" s="12" t="str">
        <f t="shared" si="265"/>
        <v>S</v>
      </c>
      <c r="R291" s="12">
        <f t="shared" si="266"/>
        <v>217</v>
      </c>
      <c r="S291" s="12" t="str">
        <f t="shared" si="267"/>
        <v>36%</v>
      </c>
      <c r="T291" s="12">
        <f t="shared" si="268"/>
        <v>0</v>
      </c>
      <c r="U291" s="12">
        <f t="shared" si="269"/>
        <v>0</v>
      </c>
      <c r="V291" s="12">
        <f t="shared" si="270"/>
        <v>4</v>
      </c>
      <c r="W291" s="12">
        <f t="shared" si="271"/>
        <v>1</v>
      </c>
      <c r="X291" s="12">
        <f t="shared" si="272"/>
        <v>0</v>
      </c>
      <c r="Y291" s="19"/>
      <c r="Z291" s="20" t="s">
        <v>6</v>
      </c>
      <c r="AA291" s="12" t="s">
        <v>292</v>
      </c>
      <c r="AB291" s="47"/>
    </row>
    <row r="292" spans="2:28" ht="27" customHeight="1">
      <c r="B292" s="9">
        <v>285</v>
      </c>
      <c r="C292" s="16" t="s">
        <v>610</v>
      </c>
      <c r="D292" s="18">
        <v>198164702890</v>
      </c>
      <c r="E292" s="15" t="s">
        <v>611</v>
      </c>
      <c r="F292" s="12">
        <v>44</v>
      </c>
      <c r="G292" s="12" t="str">
        <f t="shared" si="260"/>
        <v>S</v>
      </c>
      <c r="H292" s="12">
        <v>51</v>
      </c>
      <c r="I292" s="12" t="str">
        <f t="shared" si="261"/>
        <v>S</v>
      </c>
      <c r="J292" s="12">
        <v>76</v>
      </c>
      <c r="K292" s="12" t="str">
        <f t="shared" si="262"/>
        <v>D</v>
      </c>
      <c r="L292" s="12">
        <v>37</v>
      </c>
      <c r="M292" s="12" t="str">
        <f t="shared" si="263"/>
        <v>S</v>
      </c>
      <c r="N292" s="12">
        <v>49</v>
      </c>
      <c r="O292" s="12" t="str">
        <f t="shared" si="264"/>
        <v>S</v>
      </c>
      <c r="P292" s="12">
        <v>40</v>
      </c>
      <c r="Q292" s="12" t="str">
        <f t="shared" si="265"/>
        <v>S</v>
      </c>
      <c r="R292" s="12">
        <f t="shared" si="266"/>
        <v>297</v>
      </c>
      <c r="S292" s="12" t="str">
        <f t="shared" si="267"/>
        <v>50%</v>
      </c>
      <c r="T292" s="12">
        <f t="shared" si="268"/>
        <v>1</v>
      </c>
      <c r="U292" s="12">
        <f t="shared" si="269"/>
        <v>0</v>
      </c>
      <c r="V292" s="12">
        <f t="shared" si="270"/>
        <v>4</v>
      </c>
      <c r="W292" s="12">
        <f t="shared" si="271"/>
        <v>0</v>
      </c>
      <c r="X292" s="12">
        <f t="shared" si="272"/>
        <v>0</v>
      </c>
      <c r="Y292" s="19"/>
      <c r="Z292" s="20" t="str">
        <f t="shared" si="273"/>
        <v>Ordinary Pass</v>
      </c>
      <c r="AA292" s="12"/>
      <c r="AB292" s="47"/>
    </row>
    <row r="293" spans="2:28" ht="27" customHeight="1">
      <c r="B293" s="9">
        <v>286</v>
      </c>
      <c r="C293" s="16" t="s">
        <v>612</v>
      </c>
      <c r="D293" s="18">
        <v>198754003230</v>
      </c>
      <c r="E293" s="15" t="s">
        <v>613</v>
      </c>
      <c r="F293" s="12">
        <v>63</v>
      </c>
      <c r="G293" s="12" t="str">
        <f t="shared" si="260"/>
        <v>C</v>
      </c>
      <c r="H293" s="12">
        <v>60</v>
      </c>
      <c r="I293" s="12" t="str">
        <f t="shared" si="261"/>
        <v>C</v>
      </c>
      <c r="J293" s="12">
        <v>87</v>
      </c>
      <c r="K293" s="12" t="str">
        <f t="shared" si="262"/>
        <v>D</v>
      </c>
      <c r="L293" s="12">
        <v>50</v>
      </c>
      <c r="M293" s="12" t="str">
        <f t="shared" si="263"/>
        <v>S</v>
      </c>
      <c r="N293" s="12">
        <v>62</v>
      </c>
      <c r="O293" s="12" t="str">
        <f t="shared" si="264"/>
        <v>C</v>
      </c>
      <c r="P293" s="12">
        <v>55</v>
      </c>
      <c r="Q293" s="12" t="str">
        <f t="shared" si="265"/>
        <v>C</v>
      </c>
      <c r="R293" s="12">
        <f t="shared" si="266"/>
        <v>377</v>
      </c>
      <c r="S293" s="12" t="str">
        <f t="shared" si="267"/>
        <v>63%</v>
      </c>
      <c r="T293" s="12">
        <f t="shared" si="268"/>
        <v>1</v>
      </c>
      <c r="U293" s="12">
        <f t="shared" si="269"/>
        <v>4</v>
      </c>
      <c r="V293" s="12">
        <f t="shared" si="270"/>
        <v>1</v>
      </c>
      <c r="W293" s="12">
        <f t="shared" si="271"/>
        <v>0</v>
      </c>
      <c r="X293" s="12">
        <f t="shared" si="272"/>
        <v>0</v>
      </c>
      <c r="Y293" s="19"/>
      <c r="Z293" s="20" t="str">
        <f t="shared" si="273"/>
        <v>Ordinary Pass</v>
      </c>
      <c r="AA293" s="12"/>
      <c r="AB293" s="47"/>
    </row>
    <row r="294" spans="2:28" ht="27" customHeight="1">
      <c r="B294" s="9">
        <v>287</v>
      </c>
      <c r="C294" s="16" t="s">
        <v>614</v>
      </c>
      <c r="D294" s="18" t="s">
        <v>615</v>
      </c>
      <c r="E294" s="15" t="s">
        <v>616</v>
      </c>
      <c r="F294" s="12">
        <v>47</v>
      </c>
      <c r="G294" s="12" t="str">
        <f t="shared" si="260"/>
        <v>S</v>
      </c>
      <c r="H294" s="12">
        <v>69</v>
      </c>
      <c r="I294" s="12" t="str">
        <f t="shared" si="261"/>
        <v>C</v>
      </c>
      <c r="J294" s="12">
        <v>75</v>
      </c>
      <c r="K294" s="12" t="str">
        <f t="shared" si="262"/>
        <v>D</v>
      </c>
      <c r="L294" s="12">
        <v>44</v>
      </c>
      <c r="M294" s="12" t="str">
        <f t="shared" si="263"/>
        <v>S</v>
      </c>
      <c r="N294" s="12">
        <v>61</v>
      </c>
      <c r="O294" s="12" t="str">
        <f t="shared" si="264"/>
        <v>C</v>
      </c>
      <c r="P294" s="12">
        <v>43</v>
      </c>
      <c r="Q294" s="12" t="str">
        <f t="shared" si="265"/>
        <v>S</v>
      </c>
      <c r="R294" s="12">
        <f t="shared" si="266"/>
        <v>339</v>
      </c>
      <c r="S294" s="12" t="str">
        <f t="shared" si="267"/>
        <v>57%</v>
      </c>
      <c r="T294" s="12">
        <f t="shared" si="268"/>
        <v>1</v>
      </c>
      <c r="U294" s="12">
        <f t="shared" si="269"/>
        <v>2</v>
      </c>
      <c r="V294" s="12">
        <f t="shared" si="270"/>
        <v>2</v>
      </c>
      <c r="W294" s="12">
        <f t="shared" si="271"/>
        <v>0</v>
      </c>
      <c r="X294" s="12">
        <f t="shared" si="272"/>
        <v>0</v>
      </c>
      <c r="Y294" s="19"/>
      <c r="Z294" s="20" t="str">
        <f t="shared" si="273"/>
        <v>Ordinary Pass</v>
      </c>
      <c r="AA294" s="12"/>
      <c r="AB294" s="47"/>
    </row>
    <row r="295" spans="2:28" ht="27" customHeight="1">
      <c r="B295" s="9">
        <v>288</v>
      </c>
      <c r="C295" s="16" t="s">
        <v>617</v>
      </c>
      <c r="D295" s="18">
        <v>199258201780</v>
      </c>
      <c r="E295" s="15" t="s">
        <v>618</v>
      </c>
      <c r="F295" s="12" t="s">
        <v>14</v>
      </c>
      <c r="G295" s="12" t="str">
        <f t="shared" si="260"/>
        <v>AB</v>
      </c>
      <c r="H295" s="12" t="s">
        <v>14</v>
      </c>
      <c r="I295" s="12" t="str">
        <f t="shared" si="261"/>
        <v>AB</v>
      </c>
      <c r="J295" s="12" t="s">
        <v>14</v>
      </c>
      <c r="K295" s="12" t="str">
        <f t="shared" si="262"/>
        <v>AB</v>
      </c>
      <c r="L295" s="12" t="s">
        <v>14</v>
      </c>
      <c r="M295" s="12" t="str">
        <f t="shared" si="263"/>
        <v>AB</v>
      </c>
      <c r="N295" s="12" t="s">
        <v>14</v>
      </c>
      <c r="O295" s="12" t="str">
        <f t="shared" si="264"/>
        <v>AB</v>
      </c>
      <c r="P295" s="12" t="s">
        <v>14</v>
      </c>
      <c r="Q295" s="12" t="str">
        <f t="shared" si="265"/>
        <v>AB</v>
      </c>
      <c r="R295" s="12">
        <v>0</v>
      </c>
      <c r="S295" s="12" t="str">
        <f t="shared" si="267"/>
        <v>0%</v>
      </c>
      <c r="T295" s="12">
        <f t="shared" si="268"/>
        <v>0</v>
      </c>
      <c r="U295" s="12">
        <f t="shared" si="269"/>
        <v>0</v>
      </c>
      <c r="V295" s="12">
        <f t="shared" si="270"/>
        <v>0</v>
      </c>
      <c r="W295" s="12">
        <f t="shared" si="271"/>
        <v>0</v>
      </c>
      <c r="X295" s="12">
        <f t="shared" si="272"/>
        <v>6</v>
      </c>
      <c r="Y295" s="19"/>
      <c r="Z295" s="20" t="s">
        <v>7</v>
      </c>
      <c r="AA295" s="12"/>
      <c r="AB295" s="47"/>
    </row>
    <row r="296" spans="2:28" ht="27" customHeight="1">
      <c r="B296" s="9">
        <v>289</v>
      </c>
      <c r="C296" s="16" t="s">
        <v>619</v>
      </c>
      <c r="D296" s="18" t="s">
        <v>620</v>
      </c>
      <c r="E296" s="15" t="s">
        <v>621</v>
      </c>
      <c r="F296" s="12">
        <v>63</v>
      </c>
      <c r="G296" s="12" t="str">
        <f t="shared" si="260"/>
        <v>C</v>
      </c>
      <c r="H296" s="12">
        <v>70</v>
      </c>
      <c r="I296" s="12" t="str">
        <f t="shared" si="261"/>
        <v>C</v>
      </c>
      <c r="J296" s="12">
        <v>70</v>
      </c>
      <c r="K296" s="12" t="str">
        <f t="shared" si="262"/>
        <v>C</v>
      </c>
      <c r="L296" s="12">
        <v>46</v>
      </c>
      <c r="M296" s="12" t="str">
        <f t="shared" si="263"/>
        <v>S</v>
      </c>
      <c r="N296" s="12">
        <v>58</v>
      </c>
      <c r="O296" s="12" t="str">
        <f t="shared" si="264"/>
        <v>C</v>
      </c>
      <c r="P296" s="12">
        <v>38</v>
      </c>
      <c r="Q296" s="12" t="str">
        <f t="shared" si="265"/>
        <v>S</v>
      </c>
      <c r="R296" s="12">
        <f t="shared" si="266"/>
        <v>345</v>
      </c>
      <c r="S296" s="12" t="str">
        <f t="shared" si="267"/>
        <v>58%</v>
      </c>
      <c r="T296" s="12">
        <f t="shared" si="268"/>
        <v>0</v>
      </c>
      <c r="U296" s="12">
        <f t="shared" si="269"/>
        <v>4</v>
      </c>
      <c r="V296" s="12">
        <f t="shared" si="270"/>
        <v>2</v>
      </c>
      <c r="W296" s="12">
        <f t="shared" si="271"/>
        <v>0</v>
      </c>
      <c r="X296" s="12">
        <f t="shared" si="272"/>
        <v>0</v>
      </c>
      <c r="Y296" s="19"/>
      <c r="Z296" s="20" t="str">
        <f t="shared" si="273"/>
        <v>Ordinary Pass</v>
      </c>
      <c r="AA296" s="12"/>
      <c r="AB296" s="47"/>
    </row>
    <row r="297" spans="2:28" ht="27" customHeight="1">
      <c r="B297" s="9">
        <v>290</v>
      </c>
      <c r="C297" s="16" t="s">
        <v>622</v>
      </c>
      <c r="D297" s="18" t="s">
        <v>623</v>
      </c>
      <c r="E297" s="15" t="s">
        <v>624</v>
      </c>
      <c r="F297" s="12">
        <v>47</v>
      </c>
      <c r="G297" s="12" t="str">
        <f t="shared" si="260"/>
        <v>S</v>
      </c>
      <c r="H297" s="12">
        <v>61</v>
      </c>
      <c r="I297" s="12" t="str">
        <f t="shared" si="261"/>
        <v>C</v>
      </c>
      <c r="J297" s="12">
        <v>75</v>
      </c>
      <c r="K297" s="12" t="str">
        <f t="shared" si="262"/>
        <v>D</v>
      </c>
      <c r="L297" s="12">
        <v>40</v>
      </c>
      <c r="M297" s="12" t="str">
        <f t="shared" si="263"/>
        <v>S</v>
      </c>
      <c r="N297" s="12">
        <v>61</v>
      </c>
      <c r="O297" s="12" t="str">
        <f t="shared" si="264"/>
        <v>C</v>
      </c>
      <c r="P297" s="12">
        <v>39</v>
      </c>
      <c r="Q297" s="12" t="str">
        <f t="shared" si="265"/>
        <v>S</v>
      </c>
      <c r="R297" s="12">
        <f t="shared" si="266"/>
        <v>323</v>
      </c>
      <c r="S297" s="12" t="str">
        <f t="shared" si="267"/>
        <v>54%</v>
      </c>
      <c r="T297" s="12">
        <f t="shared" si="268"/>
        <v>1</v>
      </c>
      <c r="U297" s="12">
        <f t="shared" si="269"/>
        <v>2</v>
      </c>
      <c r="V297" s="12">
        <f t="shared" si="270"/>
        <v>2</v>
      </c>
      <c r="W297" s="12">
        <f t="shared" si="271"/>
        <v>0</v>
      </c>
      <c r="X297" s="12">
        <f t="shared" si="272"/>
        <v>0</v>
      </c>
      <c r="Y297" s="19"/>
      <c r="Z297" s="20" t="str">
        <f t="shared" si="273"/>
        <v>Ordinary Pass</v>
      </c>
      <c r="AA297" s="12"/>
      <c r="AB297" s="47"/>
    </row>
    <row r="298" spans="2:28" ht="27" customHeight="1">
      <c r="B298" s="9">
        <v>291</v>
      </c>
      <c r="C298" s="16" t="s">
        <v>625</v>
      </c>
      <c r="D298" s="18" t="s">
        <v>626</v>
      </c>
      <c r="E298" s="15" t="s">
        <v>627</v>
      </c>
      <c r="F298" s="12">
        <v>46</v>
      </c>
      <c r="G298" s="12" t="str">
        <f t="shared" si="260"/>
        <v>S</v>
      </c>
      <c r="H298" s="12">
        <v>81</v>
      </c>
      <c r="I298" s="12" t="str">
        <f t="shared" si="261"/>
        <v>D</v>
      </c>
      <c r="J298" s="12">
        <v>57</v>
      </c>
      <c r="K298" s="12" t="str">
        <f t="shared" si="262"/>
        <v>C</v>
      </c>
      <c r="L298" s="12">
        <v>59</v>
      </c>
      <c r="M298" s="12" t="str">
        <f t="shared" si="263"/>
        <v>C</v>
      </c>
      <c r="N298" s="12">
        <v>63</v>
      </c>
      <c r="O298" s="12" t="str">
        <f t="shared" si="264"/>
        <v>C</v>
      </c>
      <c r="P298" s="12">
        <v>50</v>
      </c>
      <c r="Q298" s="12" t="str">
        <f t="shared" si="265"/>
        <v>S</v>
      </c>
      <c r="R298" s="12">
        <f t="shared" si="266"/>
        <v>356</v>
      </c>
      <c r="S298" s="12" t="str">
        <f t="shared" si="267"/>
        <v>59%</v>
      </c>
      <c r="T298" s="12">
        <f t="shared" si="268"/>
        <v>1</v>
      </c>
      <c r="U298" s="12">
        <f t="shared" si="269"/>
        <v>3</v>
      </c>
      <c r="V298" s="12">
        <f t="shared" si="270"/>
        <v>1</v>
      </c>
      <c r="W298" s="12">
        <f t="shared" si="271"/>
        <v>0</v>
      </c>
      <c r="X298" s="12">
        <f t="shared" si="272"/>
        <v>0</v>
      </c>
      <c r="Y298" s="19"/>
      <c r="Z298" s="20" t="str">
        <f t="shared" si="273"/>
        <v>Ordinary Pass</v>
      </c>
      <c r="AA298" s="12"/>
      <c r="AB298" s="47"/>
    </row>
    <row r="299" spans="2:28" ht="27" customHeight="1">
      <c r="B299" s="9">
        <v>292</v>
      </c>
      <c r="C299" s="16" t="s">
        <v>628</v>
      </c>
      <c r="D299" s="18" t="s">
        <v>629</v>
      </c>
      <c r="E299" s="15" t="s">
        <v>630</v>
      </c>
      <c r="F299" s="12">
        <v>52</v>
      </c>
      <c r="G299" s="12" t="str">
        <f t="shared" si="260"/>
        <v>S</v>
      </c>
      <c r="H299" s="12">
        <v>78</v>
      </c>
      <c r="I299" s="12" t="str">
        <f t="shared" si="261"/>
        <v>D</v>
      </c>
      <c r="J299" s="12">
        <v>77</v>
      </c>
      <c r="K299" s="12" t="str">
        <f t="shared" si="262"/>
        <v>D</v>
      </c>
      <c r="L299" s="12">
        <v>51</v>
      </c>
      <c r="M299" s="12" t="str">
        <f t="shared" si="263"/>
        <v>S</v>
      </c>
      <c r="N299" s="12">
        <v>65</v>
      </c>
      <c r="O299" s="12" t="str">
        <f t="shared" si="264"/>
        <v>C</v>
      </c>
      <c r="P299" s="12">
        <v>40</v>
      </c>
      <c r="Q299" s="12" t="str">
        <f t="shared" si="265"/>
        <v>S</v>
      </c>
      <c r="R299" s="12">
        <f t="shared" si="266"/>
        <v>363</v>
      </c>
      <c r="S299" s="12" t="str">
        <f t="shared" si="267"/>
        <v>61%</v>
      </c>
      <c r="T299" s="12">
        <f t="shared" si="268"/>
        <v>2</v>
      </c>
      <c r="U299" s="12">
        <f t="shared" si="269"/>
        <v>1</v>
      </c>
      <c r="V299" s="12">
        <f t="shared" si="270"/>
        <v>2</v>
      </c>
      <c r="W299" s="12">
        <f t="shared" si="271"/>
        <v>0</v>
      </c>
      <c r="X299" s="12">
        <f t="shared" si="272"/>
        <v>0</v>
      </c>
      <c r="Y299" s="19"/>
      <c r="Z299" s="20" t="str">
        <f t="shared" si="273"/>
        <v>Ordinary Pass</v>
      </c>
      <c r="AA299" s="12"/>
      <c r="AB299" s="47"/>
    </row>
    <row r="300" spans="2:28" ht="27" customHeight="1">
      <c r="B300" s="9">
        <v>293</v>
      </c>
      <c r="C300" s="16" t="s">
        <v>631</v>
      </c>
      <c r="D300" s="18" t="s">
        <v>632</v>
      </c>
      <c r="E300" s="15" t="s">
        <v>633</v>
      </c>
      <c r="F300" s="12">
        <v>62</v>
      </c>
      <c r="G300" s="12" t="str">
        <f t="shared" si="260"/>
        <v>C</v>
      </c>
      <c r="H300" s="12">
        <v>78</v>
      </c>
      <c r="I300" s="12" t="str">
        <f t="shared" si="261"/>
        <v>D</v>
      </c>
      <c r="J300" s="12">
        <v>85</v>
      </c>
      <c r="K300" s="12" t="str">
        <f t="shared" si="262"/>
        <v>D</v>
      </c>
      <c r="L300" s="12">
        <v>49</v>
      </c>
      <c r="M300" s="12" t="str">
        <f t="shared" si="263"/>
        <v>S</v>
      </c>
      <c r="N300" s="12">
        <v>79</v>
      </c>
      <c r="O300" s="12" t="str">
        <f t="shared" si="264"/>
        <v>D</v>
      </c>
      <c r="P300" s="12">
        <v>56</v>
      </c>
      <c r="Q300" s="12" t="str">
        <f t="shared" si="265"/>
        <v>C</v>
      </c>
      <c r="R300" s="12">
        <f t="shared" si="266"/>
        <v>409</v>
      </c>
      <c r="S300" s="12" t="str">
        <f t="shared" si="267"/>
        <v>68%</v>
      </c>
      <c r="T300" s="12">
        <f t="shared" si="268"/>
        <v>3</v>
      </c>
      <c r="U300" s="12">
        <f t="shared" si="269"/>
        <v>2</v>
      </c>
      <c r="V300" s="12">
        <f t="shared" si="270"/>
        <v>1</v>
      </c>
      <c r="W300" s="12">
        <f t="shared" si="271"/>
        <v>0</v>
      </c>
      <c r="X300" s="12">
        <f t="shared" si="272"/>
        <v>0</v>
      </c>
      <c r="Y300" s="19"/>
      <c r="Z300" s="20" t="str">
        <f t="shared" si="273"/>
        <v>Ordinary Pass</v>
      </c>
      <c r="AA300" s="12"/>
      <c r="AB300" s="47"/>
    </row>
    <row r="301" spans="2:28" ht="27" customHeight="1">
      <c r="B301" s="9">
        <v>294</v>
      </c>
      <c r="C301" s="16" t="s">
        <v>634</v>
      </c>
      <c r="D301" s="18" t="s">
        <v>635</v>
      </c>
      <c r="E301" s="15" t="s">
        <v>636</v>
      </c>
      <c r="F301" s="12">
        <v>50</v>
      </c>
      <c r="G301" s="12" t="str">
        <f t="shared" si="260"/>
        <v>S</v>
      </c>
      <c r="H301" s="12">
        <v>54</v>
      </c>
      <c r="I301" s="12" t="str">
        <f t="shared" si="261"/>
        <v>S</v>
      </c>
      <c r="J301" s="12">
        <v>36</v>
      </c>
      <c r="K301" s="12" t="str">
        <f t="shared" si="262"/>
        <v>S</v>
      </c>
      <c r="L301" s="12">
        <v>35</v>
      </c>
      <c r="M301" s="12" t="str">
        <f t="shared" si="263"/>
        <v>S</v>
      </c>
      <c r="N301" s="12">
        <v>50</v>
      </c>
      <c r="O301" s="12" t="str">
        <f t="shared" si="264"/>
        <v>S</v>
      </c>
      <c r="P301" s="12">
        <v>41</v>
      </c>
      <c r="Q301" s="12" t="str">
        <f t="shared" si="265"/>
        <v>S</v>
      </c>
      <c r="R301" s="12">
        <f t="shared" si="266"/>
        <v>266</v>
      </c>
      <c r="S301" s="12" t="str">
        <f t="shared" si="267"/>
        <v>44%</v>
      </c>
      <c r="T301" s="12">
        <f t="shared" si="268"/>
        <v>0</v>
      </c>
      <c r="U301" s="12">
        <f t="shared" si="269"/>
        <v>0</v>
      </c>
      <c r="V301" s="12">
        <f t="shared" si="270"/>
        <v>5</v>
      </c>
      <c r="W301" s="12">
        <f t="shared" si="271"/>
        <v>0</v>
      </c>
      <c r="X301" s="12">
        <f t="shared" si="272"/>
        <v>0</v>
      </c>
      <c r="Y301" s="19"/>
      <c r="Z301" s="20" t="str">
        <f t="shared" si="273"/>
        <v>Ordinary Pass</v>
      </c>
      <c r="AA301" s="12"/>
      <c r="AB301" s="47"/>
    </row>
    <row r="302" spans="2:28" ht="27" customHeight="1">
      <c r="B302" s="9">
        <v>295</v>
      </c>
      <c r="C302" s="16" t="s">
        <v>637</v>
      </c>
      <c r="D302" s="18">
        <v>198069402561</v>
      </c>
      <c r="E302" s="15" t="s">
        <v>638</v>
      </c>
      <c r="F302" s="12" t="s">
        <v>14</v>
      </c>
      <c r="G302" s="12" t="str">
        <f t="shared" si="260"/>
        <v>AB</v>
      </c>
      <c r="H302" s="12" t="s">
        <v>14</v>
      </c>
      <c r="I302" s="12" t="str">
        <f t="shared" si="261"/>
        <v>AB</v>
      </c>
      <c r="J302" s="12" t="s">
        <v>14</v>
      </c>
      <c r="K302" s="12" t="str">
        <f t="shared" si="262"/>
        <v>AB</v>
      </c>
      <c r="L302" s="12" t="s">
        <v>14</v>
      </c>
      <c r="M302" s="12" t="str">
        <f t="shared" si="263"/>
        <v>AB</v>
      </c>
      <c r="N302" s="12" t="s">
        <v>14</v>
      </c>
      <c r="O302" s="12" t="str">
        <f t="shared" si="264"/>
        <v>AB</v>
      </c>
      <c r="P302" s="12" t="s">
        <v>14</v>
      </c>
      <c r="Q302" s="12" t="str">
        <f t="shared" si="265"/>
        <v>AB</v>
      </c>
      <c r="R302" s="12">
        <v>0</v>
      </c>
      <c r="S302" s="12" t="str">
        <f t="shared" si="267"/>
        <v>0%</v>
      </c>
      <c r="T302" s="12">
        <f t="shared" si="268"/>
        <v>0</v>
      </c>
      <c r="U302" s="12">
        <f t="shared" si="269"/>
        <v>0</v>
      </c>
      <c r="V302" s="12">
        <f t="shared" si="270"/>
        <v>0</v>
      </c>
      <c r="W302" s="12">
        <f t="shared" si="271"/>
        <v>0</v>
      </c>
      <c r="X302" s="12">
        <f t="shared" si="272"/>
        <v>6</v>
      </c>
      <c r="Y302" s="19"/>
      <c r="Z302" s="20" t="s">
        <v>7</v>
      </c>
      <c r="AA302" s="12"/>
      <c r="AB302" s="47"/>
    </row>
    <row r="303" spans="2:28" ht="27" customHeight="1">
      <c r="B303" s="9">
        <v>296</v>
      </c>
      <c r="C303" s="16" t="s">
        <v>639</v>
      </c>
      <c r="D303" s="18" t="s">
        <v>640</v>
      </c>
      <c r="E303" s="15" t="s">
        <v>641</v>
      </c>
      <c r="F303" s="12">
        <v>39</v>
      </c>
      <c r="G303" s="12" t="str">
        <f t="shared" si="260"/>
        <v>S</v>
      </c>
      <c r="H303" s="12">
        <v>55</v>
      </c>
      <c r="I303" s="12" t="str">
        <f t="shared" si="261"/>
        <v>C</v>
      </c>
      <c r="J303" s="12">
        <v>25</v>
      </c>
      <c r="K303" s="12" t="str">
        <f t="shared" si="262"/>
        <v>F</v>
      </c>
      <c r="L303" s="12">
        <v>50</v>
      </c>
      <c r="M303" s="12" t="str">
        <f t="shared" si="263"/>
        <v>S</v>
      </c>
      <c r="N303" s="12">
        <v>59</v>
      </c>
      <c r="O303" s="12" t="str">
        <f t="shared" si="264"/>
        <v>C</v>
      </c>
      <c r="P303" s="12">
        <v>53</v>
      </c>
      <c r="Q303" s="12" t="str">
        <f t="shared" si="265"/>
        <v>S</v>
      </c>
      <c r="R303" s="12">
        <f t="shared" si="266"/>
        <v>281</v>
      </c>
      <c r="S303" s="12" t="str">
        <f t="shared" si="267"/>
        <v>47%</v>
      </c>
      <c r="T303" s="12">
        <f t="shared" si="268"/>
        <v>0</v>
      </c>
      <c r="U303" s="12">
        <f t="shared" si="269"/>
        <v>2</v>
      </c>
      <c r="V303" s="12">
        <f t="shared" si="270"/>
        <v>2</v>
      </c>
      <c r="W303" s="12">
        <f t="shared" si="271"/>
        <v>1</v>
      </c>
      <c r="X303" s="12">
        <f t="shared" si="272"/>
        <v>0</v>
      </c>
      <c r="Y303" s="19"/>
      <c r="Z303" s="20" t="s">
        <v>6</v>
      </c>
      <c r="AA303" s="12" t="s">
        <v>84</v>
      </c>
      <c r="AB303" s="47"/>
    </row>
    <row r="304" spans="2:28" ht="27" customHeight="1">
      <c r="B304" s="9">
        <v>297</v>
      </c>
      <c r="C304" s="16" t="s">
        <v>642</v>
      </c>
      <c r="D304" s="18">
        <v>198330100152</v>
      </c>
      <c r="E304" s="15" t="s">
        <v>643</v>
      </c>
      <c r="F304" s="12" t="s">
        <v>14</v>
      </c>
      <c r="G304" s="12" t="str">
        <f t="shared" si="260"/>
        <v>AB</v>
      </c>
      <c r="H304" s="12" t="s">
        <v>14</v>
      </c>
      <c r="I304" s="12" t="str">
        <f t="shared" si="261"/>
        <v>AB</v>
      </c>
      <c r="J304" s="12" t="s">
        <v>14</v>
      </c>
      <c r="K304" s="12" t="str">
        <f t="shared" si="262"/>
        <v>AB</v>
      </c>
      <c r="L304" s="12" t="s">
        <v>14</v>
      </c>
      <c r="M304" s="12" t="str">
        <f t="shared" si="263"/>
        <v>AB</v>
      </c>
      <c r="N304" s="12" t="s">
        <v>14</v>
      </c>
      <c r="O304" s="12" t="str">
        <f t="shared" si="264"/>
        <v>AB</v>
      </c>
      <c r="P304" s="12" t="s">
        <v>14</v>
      </c>
      <c r="Q304" s="12" t="str">
        <f t="shared" si="265"/>
        <v>AB</v>
      </c>
      <c r="R304" s="12">
        <v>0</v>
      </c>
      <c r="S304" s="12" t="str">
        <f t="shared" si="267"/>
        <v>0%</v>
      </c>
      <c r="T304" s="12">
        <f t="shared" si="268"/>
        <v>0</v>
      </c>
      <c r="U304" s="12">
        <f t="shared" si="269"/>
        <v>0</v>
      </c>
      <c r="V304" s="12">
        <f t="shared" si="270"/>
        <v>0</v>
      </c>
      <c r="W304" s="12">
        <f t="shared" si="271"/>
        <v>0</v>
      </c>
      <c r="X304" s="12">
        <f t="shared" si="272"/>
        <v>6</v>
      </c>
      <c r="Y304" s="19"/>
      <c r="Z304" s="20" t="s">
        <v>7</v>
      </c>
      <c r="AA304" s="12"/>
      <c r="AB304" s="47"/>
    </row>
    <row r="305" spans="2:28" ht="27" customHeight="1">
      <c r="B305" s="9">
        <v>298</v>
      </c>
      <c r="C305" s="16" t="s">
        <v>644</v>
      </c>
      <c r="D305" s="18">
        <v>198904201482</v>
      </c>
      <c r="E305" s="15" t="s">
        <v>645</v>
      </c>
      <c r="F305" s="12" t="s">
        <v>14</v>
      </c>
      <c r="G305" s="12" t="str">
        <f t="shared" si="260"/>
        <v>AB</v>
      </c>
      <c r="H305" s="12" t="s">
        <v>14</v>
      </c>
      <c r="I305" s="12" t="str">
        <f t="shared" si="261"/>
        <v>AB</v>
      </c>
      <c r="J305" s="12" t="s">
        <v>14</v>
      </c>
      <c r="K305" s="12" t="str">
        <f t="shared" si="262"/>
        <v>AB</v>
      </c>
      <c r="L305" s="12" t="s">
        <v>14</v>
      </c>
      <c r="M305" s="12" t="str">
        <f t="shared" si="263"/>
        <v>AB</v>
      </c>
      <c r="N305" s="12" t="s">
        <v>14</v>
      </c>
      <c r="O305" s="12" t="str">
        <f t="shared" si="264"/>
        <v>AB</v>
      </c>
      <c r="P305" s="12" t="s">
        <v>14</v>
      </c>
      <c r="Q305" s="12" t="str">
        <f t="shared" si="265"/>
        <v>AB</v>
      </c>
      <c r="R305" s="12">
        <v>0</v>
      </c>
      <c r="S305" s="12" t="str">
        <f t="shared" si="267"/>
        <v>0%</v>
      </c>
      <c r="T305" s="12">
        <f t="shared" si="268"/>
        <v>0</v>
      </c>
      <c r="U305" s="12">
        <f t="shared" si="269"/>
        <v>0</v>
      </c>
      <c r="V305" s="12">
        <f t="shared" si="270"/>
        <v>0</v>
      </c>
      <c r="W305" s="12">
        <f t="shared" si="271"/>
        <v>0</v>
      </c>
      <c r="X305" s="12">
        <f t="shared" si="272"/>
        <v>6</v>
      </c>
      <c r="Y305" s="19"/>
      <c r="Z305" s="20" t="s">
        <v>7</v>
      </c>
      <c r="AA305" s="12"/>
      <c r="AB305" s="47"/>
    </row>
    <row r="306" spans="2:28" ht="27" customHeight="1">
      <c r="B306" s="9">
        <v>299</v>
      </c>
      <c r="C306" s="16" t="s">
        <v>646</v>
      </c>
      <c r="D306" s="18" t="s">
        <v>647</v>
      </c>
      <c r="E306" s="15" t="s">
        <v>648</v>
      </c>
      <c r="F306" s="12">
        <v>93</v>
      </c>
      <c r="G306" s="12" t="str">
        <f t="shared" si="260"/>
        <v>D</v>
      </c>
      <c r="H306" s="12">
        <v>94</v>
      </c>
      <c r="I306" s="12" t="str">
        <f t="shared" si="261"/>
        <v>D</v>
      </c>
      <c r="J306" s="12">
        <v>87</v>
      </c>
      <c r="K306" s="12" t="str">
        <f t="shared" si="262"/>
        <v>D</v>
      </c>
      <c r="L306" s="12">
        <v>89</v>
      </c>
      <c r="M306" s="12" t="str">
        <f t="shared" si="263"/>
        <v>D</v>
      </c>
      <c r="N306" s="12">
        <v>78</v>
      </c>
      <c r="O306" s="12" t="str">
        <f t="shared" si="264"/>
        <v>D</v>
      </c>
      <c r="P306" s="12">
        <v>84</v>
      </c>
      <c r="Q306" s="12" t="str">
        <f t="shared" si="265"/>
        <v>D</v>
      </c>
      <c r="R306" s="12">
        <f t="shared" ref="R306:R307" si="274">SUM(F306+H306+J306+L306+N306+P306)</f>
        <v>525</v>
      </c>
      <c r="S306" s="12" t="str">
        <f t="shared" si="267"/>
        <v>88%</v>
      </c>
      <c r="T306" s="12">
        <f t="shared" si="268"/>
        <v>6</v>
      </c>
      <c r="U306" s="12">
        <f t="shared" si="269"/>
        <v>0</v>
      </c>
      <c r="V306" s="12">
        <f t="shared" si="270"/>
        <v>0</v>
      </c>
      <c r="W306" s="12">
        <f t="shared" si="271"/>
        <v>0</v>
      </c>
      <c r="X306" s="12">
        <f t="shared" si="272"/>
        <v>0</v>
      </c>
      <c r="Y306" s="19"/>
      <c r="Z306" s="20" t="str">
        <f t="shared" ref="Z306:Z307" si="275">IF(X306&gt;0, "Not Completed",
   IF(T306=10, "First Class",
      IF(S306&gt;75, IF(V306&gt;0, "Ordinary Pass", "First Class"),
         IF(S306&gt;65, IF(V306&gt;0, "Ordinary Pass", "Second Class"), "none")
      )
   )
)</f>
        <v>First Class</v>
      </c>
      <c r="AA306" s="12"/>
      <c r="AB306" s="47"/>
    </row>
    <row r="307" spans="2:28" ht="27" customHeight="1">
      <c r="B307" s="9">
        <v>300</v>
      </c>
      <c r="C307" s="16" t="s">
        <v>649</v>
      </c>
      <c r="D307" s="18" t="s">
        <v>650</v>
      </c>
      <c r="E307" s="15" t="s">
        <v>651</v>
      </c>
      <c r="F307" s="12">
        <v>81</v>
      </c>
      <c r="G307" s="12" t="str">
        <f t="shared" si="260"/>
        <v>D</v>
      </c>
      <c r="H307" s="12">
        <v>62</v>
      </c>
      <c r="I307" s="12" t="str">
        <f t="shared" si="261"/>
        <v>C</v>
      </c>
      <c r="J307" s="12">
        <v>85</v>
      </c>
      <c r="K307" s="12" t="str">
        <f t="shared" si="262"/>
        <v>D</v>
      </c>
      <c r="L307" s="12">
        <v>50</v>
      </c>
      <c r="M307" s="12" t="str">
        <f t="shared" si="263"/>
        <v>S</v>
      </c>
      <c r="N307" s="12">
        <v>64</v>
      </c>
      <c r="O307" s="12" t="str">
        <f t="shared" si="264"/>
        <v>C</v>
      </c>
      <c r="P307" s="12">
        <v>44</v>
      </c>
      <c r="Q307" s="12" t="str">
        <f t="shared" si="265"/>
        <v>S</v>
      </c>
      <c r="R307" s="12">
        <f t="shared" si="274"/>
        <v>386</v>
      </c>
      <c r="S307" s="12" t="str">
        <f t="shared" si="267"/>
        <v>64%</v>
      </c>
      <c r="T307" s="12">
        <f t="shared" si="268"/>
        <v>2</v>
      </c>
      <c r="U307" s="12">
        <f t="shared" si="269"/>
        <v>2</v>
      </c>
      <c r="V307" s="12">
        <f t="shared" si="270"/>
        <v>2</v>
      </c>
      <c r="W307" s="12">
        <f t="shared" si="271"/>
        <v>0</v>
      </c>
      <c r="X307" s="12">
        <f t="shared" si="272"/>
        <v>0</v>
      </c>
      <c r="Y307" s="19"/>
      <c r="Z307" s="20" t="str">
        <f t="shared" si="275"/>
        <v>Ordinary Pass</v>
      </c>
      <c r="AA307" s="12"/>
      <c r="AB307" s="47"/>
    </row>
    <row r="308" spans="2:28" ht="27" customHeight="1">
      <c r="B308" s="9">
        <v>301</v>
      </c>
      <c r="C308" s="16" t="s">
        <v>652</v>
      </c>
      <c r="D308" s="18">
        <v>200279600435</v>
      </c>
      <c r="E308" s="15" t="s">
        <v>653</v>
      </c>
      <c r="F308" s="12">
        <v>57</v>
      </c>
      <c r="G308" s="12" t="str">
        <f t="shared" ref="G308:G310" si="276">IF(F308="-", "AB", IF(F308&gt;=75, "D", IF(F308&gt;=55, "C", IF(F308&gt;=35, "S", IF(F308&gt;=0, "F")))))</f>
        <v>C</v>
      </c>
      <c r="H308" s="12">
        <v>60</v>
      </c>
      <c r="I308" s="12" t="str">
        <f t="shared" ref="I308:I327" si="277">IF(H308="-", "AB", IF(H308&gt;=75, "D", IF(H308&gt;=55, "C", IF(H308&gt;=35, "S", IF(H308&gt;=0, "F")))))</f>
        <v>C</v>
      </c>
      <c r="J308" s="12">
        <v>77</v>
      </c>
      <c r="K308" s="12" t="str">
        <f t="shared" ref="K308:K327" si="278">IF(J308="-", "AB", IF(J308&gt;=75, "D", IF(J308&gt;=55, "C", IF(J308&gt;=35, "S", IF(J308&gt;=0, "F")))))</f>
        <v>D</v>
      </c>
      <c r="L308" s="12">
        <v>35</v>
      </c>
      <c r="M308" s="12" t="str">
        <f t="shared" ref="M308:M327" si="279">IF(L308="-", "AB", IF(L308&gt;=75, "D", IF(L308&gt;=55, "C", IF(L308&gt;=35, "S", IF(L308&gt;=0, "F")))))</f>
        <v>S</v>
      </c>
      <c r="N308" s="12">
        <v>50</v>
      </c>
      <c r="O308" s="12" t="str">
        <f t="shared" ref="O308:O327" si="280">IF(N308="-", "AB", IF(N308&gt;=75, "D", IF(N308&gt;=55, "C", IF(N308&gt;=35, "S", IF(N308&gt;=0, "F")))))</f>
        <v>S</v>
      </c>
      <c r="P308" s="12">
        <v>56</v>
      </c>
      <c r="Q308" s="12" t="str">
        <f t="shared" ref="Q308:Q327" si="281">IF(P308="-", "AB", IF(P308&gt;=75, "D", IF(P308&gt;=55, "C", IF(P308&gt;=35, "S", IF(P308&gt;=0, "F")))))</f>
        <v>C</v>
      </c>
      <c r="R308" s="12">
        <f t="shared" ref="R308:R310" si="282">SUM(F308+H308+J308+L308+N308+P308)</f>
        <v>335</v>
      </c>
      <c r="S308" s="12" t="str">
        <f t="shared" ref="S308:S327" si="283">ROUND(R308/6, 0)&amp;"%"</f>
        <v>56%</v>
      </c>
      <c r="T308" s="12">
        <f t="shared" ref="T308:T327" si="284">COUNTIF(F308:Q308, "D")</f>
        <v>1</v>
      </c>
      <c r="U308" s="12">
        <f t="shared" ref="U308:U327" si="285">COUNTIF(G308:T308, "C")</f>
        <v>3</v>
      </c>
      <c r="V308" s="12">
        <f t="shared" ref="V308:V327" si="286">COUNTIF(H308:U308, "S")</f>
        <v>2</v>
      </c>
      <c r="W308" s="12">
        <f t="shared" ref="W308:W327" si="287">COUNTIF(I308:V308, "F")</f>
        <v>0</v>
      </c>
      <c r="X308" s="12">
        <f t="shared" ref="X308:X327" si="288">COUNTIF(F308:W308, "-")</f>
        <v>0</v>
      </c>
      <c r="Y308" s="19"/>
      <c r="Z308" s="20" t="str">
        <f t="shared" ref="Z308:Z310" si="289">IF(X308&gt;0, "Not Completed",
   IF(T308=10, "First Class",
      IF(S308&gt;75, IF(V308&gt;0, "Ordinary Pass", "First Class"),
         IF(S308&gt;65, IF(V308&gt;0, "Ordinary Pass", "Second Class"), "none")
      )
   )
)</f>
        <v>Ordinary Pass</v>
      </c>
      <c r="AA308" s="12"/>
      <c r="AB308" s="47"/>
    </row>
    <row r="309" spans="2:28" ht="27" customHeight="1">
      <c r="B309" s="9">
        <v>302</v>
      </c>
      <c r="C309" s="16" t="s">
        <v>654</v>
      </c>
      <c r="D309" s="18">
        <v>200174200092</v>
      </c>
      <c r="E309" s="15" t="s">
        <v>655</v>
      </c>
      <c r="F309" s="12">
        <v>90</v>
      </c>
      <c r="G309" s="12" t="str">
        <f t="shared" si="276"/>
        <v>D</v>
      </c>
      <c r="H309" s="12">
        <v>82</v>
      </c>
      <c r="I309" s="12" t="str">
        <f t="shared" si="277"/>
        <v>D</v>
      </c>
      <c r="J309" s="12">
        <v>90</v>
      </c>
      <c r="K309" s="12" t="str">
        <f t="shared" si="278"/>
        <v>D</v>
      </c>
      <c r="L309" s="12">
        <v>66</v>
      </c>
      <c r="M309" s="12" t="str">
        <f t="shared" si="279"/>
        <v>C</v>
      </c>
      <c r="N309" s="12">
        <v>74</v>
      </c>
      <c r="O309" s="12" t="str">
        <f t="shared" si="280"/>
        <v>C</v>
      </c>
      <c r="P309" s="12">
        <v>93</v>
      </c>
      <c r="Q309" s="12" t="str">
        <f t="shared" si="281"/>
        <v>D</v>
      </c>
      <c r="R309" s="12">
        <f t="shared" si="282"/>
        <v>495</v>
      </c>
      <c r="S309" s="12" t="str">
        <f t="shared" si="283"/>
        <v>83%</v>
      </c>
      <c r="T309" s="12">
        <f t="shared" si="284"/>
        <v>4</v>
      </c>
      <c r="U309" s="12">
        <f t="shared" si="285"/>
        <v>2</v>
      </c>
      <c r="V309" s="12">
        <f t="shared" si="286"/>
        <v>0</v>
      </c>
      <c r="W309" s="12">
        <f t="shared" si="287"/>
        <v>0</v>
      </c>
      <c r="X309" s="12">
        <f t="shared" si="288"/>
        <v>0</v>
      </c>
      <c r="Y309" s="19"/>
      <c r="Z309" s="20" t="str">
        <f t="shared" si="289"/>
        <v>First Class</v>
      </c>
      <c r="AA309" s="12"/>
      <c r="AB309" s="47"/>
    </row>
    <row r="310" spans="2:28" ht="27" customHeight="1">
      <c r="B310" s="9">
        <v>303</v>
      </c>
      <c r="C310" s="16" t="s">
        <v>656</v>
      </c>
      <c r="D310" s="18" t="s">
        <v>657</v>
      </c>
      <c r="E310" s="15" t="s">
        <v>658</v>
      </c>
      <c r="F310" s="12">
        <v>72</v>
      </c>
      <c r="G310" s="12" t="str">
        <f t="shared" si="276"/>
        <v>C</v>
      </c>
      <c r="H310" s="12">
        <v>70</v>
      </c>
      <c r="I310" s="12" t="str">
        <f t="shared" si="277"/>
        <v>C</v>
      </c>
      <c r="J310" s="12">
        <v>85</v>
      </c>
      <c r="K310" s="12" t="str">
        <f t="shared" si="278"/>
        <v>D</v>
      </c>
      <c r="L310" s="12">
        <v>61</v>
      </c>
      <c r="M310" s="12" t="str">
        <f t="shared" si="279"/>
        <v>C</v>
      </c>
      <c r="N310" s="12">
        <v>64</v>
      </c>
      <c r="O310" s="12" t="str">
        <f t="shared" si="280"/>
        <v>C</v>
      </c>
      <c r="P310" s="12">
        <v>50</v>
      </c>
      <c r="Q310" s="12" t="str">
        <f t="shared" si="281"/>
        <v>S</v>
      </c>
      <c r="R310" s="12">
        <f t="shared" si="282"/>
        <v>402</v>
      </c>
      <c r="S310" s="12" t="str">
        <f t="shared" si="283"/>
        <v>67%</v>
      </c>
      <c r="T310" s="12">
        <f t="shared" si="284"/>
        <v>1</v>
      </c>
      <c r="U310" s="12">
        <f t="shared" si="285"/>
        <v>4</v>
      </c>
      <c r="V310" s="12">
        <f t="shared" si="286"/>
        <v>1</v>
      </c>
      <c r="W310" s="12">
        <f t="shared" si="287"/>
        <v>0</v>
      </c>
      <c r="X310" s="12">
        <f t="shared" si="288"/>
        <v>0</v>
      </c>
      <c r="Y310" s="19"/>
      <c r="Z310" s="20" t="str">
        <f t="shared" si="289"/>
        <v>Ordinary Pass</v>
      </c>
      <c r="AA310" s="12"/>
      <c r="AB310" s="47"/>
    </row>
    <row r="311" spans="2:28" ht="27" customHeight="1">
      <c r="B311" s="9">
        <v>304</v>
      </c>
      <c r="C311" s="16" t="s">
        <v>659</v>
      </c>
      <c r="D311" s="17" t="s">
        <v>660</v>
      </c>
      <c r="E311" s="15" t="s">
        <v>661</v>
      </c>
      <c r="F311" s="1">
        <v>75</v>
      </c>
      <c r="G311" s="12" t="str">
        <f>IF(F311="-", "AB", IF(F311&gt;=75, "D", IF(F311&gt;=55, "C", IF(F311&gt;=35, "S", IF(F311&gt;=0, "F")))))</f>
        <v>D</v>
      </c>
      <c r="H311" s="12">
        <v>69</v>
      </c>
      <c r="I311" s="12" t="str">
        <f t="shared" si="277"/>
        <v>C</v>
      </c>
      <c r="J311" s="12">
        <v>35</v>
      </c>
      <c r="K311" s="12" t="str">
        <f t="shared" si="278"/>
        <v>S</v>
      </c>
      <c r="L311" s="12">
        <v>51</v>
      </c>
      <c r="M311" s="12" t="str">
        <f t="shared" si="279"/>
        <v>S</v>
      </c>
      <c r="N311" s="12">
        <v>60</v>
      </c>
      <c r="O311" s="12" t="str">
        <f t="shared" si="280"/>
        <v>C</v>
      </c>
      <c r="P311" s="12">
        <v>60</v>
      </c>
      <c r="Q311" s="12" t="str">
        <f t="shared" si="281"/>
        <v>C</v>
      </c>
      <c r="R311" s="12">
        <f>SUM(F311+H311+J311+L311+N311+P311)</f>
        <v>350</v>
      </c>
      <c r="S311" s="12" t="str">
        <f t="shared" si="283"/>
        <v>58%</v>
      </c>
      <c r="T311" s="12">
        <f t="shared" si="284"/>
        <v>1</v>
      </c>
      <c r="U311" s="12">
        <f t="shared" si="285"/>
        <v>3</v>
      </c>
      <c r="V311" s="12">
        <f t="shared" si="286"/>
        <v>2</v>
      </c>
      <c r="W311" s="12">
        <f t="shared" si="287"/>
        <v>0</v>
      </c>
      <c r="X311" s="12">
        <f t="shared" si="288"/>
        <v>0</v>
      </c>
      <c r="Y311" s="19"/>
      <c r="Z311" s="20" t="str">
        <f>IF(X311&gt;0, "Not Completed",
   IF(T311=10, "First Class",
      IF(S311&gt;75, IF(V311&gt;0, "Ordinary Pass", "First Class"),
         IF(S311&gt;65, IF(V311&gt;0, "Ordinary Pass", "Second Class"), "none")
      )
   )
)</f>
        <v>Ordinary Pass</v>
      </c>
      <c r="AA311" s="12"/>
      <c r="AB311" s="47"/>
    </row>
    <row r="312" spans="2:28" ht="27" customHeight="1">
      <c r="B312" s="9">
        <v>305</v>
      </c>
      <c r="C312" s="19" t="s">
        <v>662</v>
      </c>
      <c r="D312" s="18">
        <v>200280800536</v>
      </c>
      <c r="E312" s="15" t="s">
        <v>663</v>
      </c>
      <c r="F312" s="12">
        <v>47</v>
      </c>
      <c r="G312" s="12" t="str">
        <f t="shared" ref="G312:G327" si="290">IF(F312="-", "AB", IF(F312&gt;=75, "D", IF(F312&gt;=55, "C", IF(F312&gt;=35, "S", IF(F312&gt;=0, "F")))))</f>
        <v>S</v>
      </c>
      <c r="H312" s="12">
        <v>63</v>
      </c>
      <c r="I312" s="12" t="str">
        <f t="shared" si="277"/>
        <v>C</v>
      </c>
      <c r="J312" s="12">
        <v>35</v>
      </c>
      <c r="K312" s="12" t="str">
        <f t="shared" si="278"/>
        <v>S</v>
      </c>
      <c r="L312" s="12">
        <v>42</v>
      </c>
      <c r="M312" s="12" t="str">
        <f t="shared" si="279"/>
        <v>S</v>
      </c>
      <c r="N312" s="12">
        <v>45</v>
      </c>
      <c r="O312" s="12" t="str">
        <f t="shared" si="280"/>
        <v>S</v>
      </c>
      <c r="P312" s="12">
        <v>65</v>
      </c>
      <c r="Q312" s="12" t="str">
        <f t="shared" si="281"/>
        <v>C</v>
      </c>
      <c r="R312" s="12">
        <f t="shared" ref="R312:R327" si="291">SUM(F312+H312+J312+L312+N312+P312)</f>
        <v>297</v>
      </c>
      <c r="S312" s="12" t="str">
        <f t="shared" si="283"/>
        <v>50%</v>
      </c>
      <c r="T312" s="12">
        <f t="shared" si="284"/>
        <v>0</v>
      </c>
      <c r="U312" s="12">
        <f t="shared" si="285"/>
        <v>2</v>
      </c>
      <c r="V312" s="12">
        <f t="shared" si="286"/>
        <v>3</v>
      </c>
      <c r="W312" s="12">
        <f t="shared" si="287"/>
        <v>0</v>
      </c>
      <c r="X312" s="12">
        <f t="shared" si="288"/>
        <v>0</v>
      </c>
      <c r="Y312" s="19"/>
      <c r="Z312" s="20" t="str">
        <f t="shared" ref="Z312:Z324" si="292">IF(X312&gt;0, "Not Completed",
   IF(T312=10, "First Class",
      IF(S312&gt;75, IF(V312&gt;0, "Ordinary Pass", "First Class"),
         IF(S312&gt;65, IF(V312&gt;0, "Ordinary Pass", "Second Class"), "none")
      )
   )
)</f>
        <v>Ordinary Pass</v>
      </c>
      <c r="AA312" s="12"/>
      <c r="AB312" s="47"/>
    </row>
    <row r="313" spans="2:28" ht="27" customHeight="1">
      <c r="B313" s="9">
        <v>306</v>
      </c>
      <c r="C313" s="19" t="s">
        <v>664</v>
      </c>
      <c r="D313" s="18" t="s">
        <v>665</v>
      </c>
      <c r="E313" s="15" t="s">
        <v>666</v>
      </c>
      <c r="F313" s="12">
        <v>54</v>
      </c>
      <c r="G313" s="12" t="str">
        <f t="shared" si="290"/>
        <v>S</v>
      </c>
      <c r="H313" s="12">
        <v>63</v>
      </c>
      <c r="I313" s="12" t="str">
        <f t="shared" si="277"/>
        <v>C</v>
      </c>
      <c r="J313" s="12">
        <v>50</v>
      </c>
      <c r="K313" s="12" t="str">
        <f t="shared" si="278"/>
        <v>S</v>
      </c>
      <c r="L313" s="12">
        <v>49</v>
      </c>
      <c r="M313" s="12" t="str">
        <f t="shared" si="279"/>
        <v>S</v>
      </c>
      <c r="N313" s="12">
        <v>45</v>
      </c>
      <c r="O313" s="12" t="str">
        <f t="shared" si="280"/>
        <v>S</v>
      </c>
      <c r="P313" s="12">
        <v>63</v>
      </c>
      <c r="Q313" s="12" t="str">
        <f t="shared" si="281"/>
        <v>C</v>
      </c>
      <c r="R313" s="12">
        <f t="shared" si="291"/>
        <v>324</v>
      </c>
      <c r="S313" s="12" t="str">
        <f t="shared" si="283"/>
        <v>54%</v>
      </c>
      <c r="T313" s="12">
        <f t="shared" si="284"/>
        <v>0</v>
      </c>
      <c r="U313" s="12">
        <f t="shared" si="285"/>
        <v>2</v>
      </c>
      <c r="V313" s="12">
        <f t="shared" si="286"/>
        <v>3</v>
      </c>
      <c r="W313" s="12">
        <f t="shared" si="287"/>
        <v>0</v>
      </c>
      <c r="X313" s="12">
        <f t="shared" si="288"/>
        <v>0</v>
      </c>
      <c r="Y313" s="19"/>
      <c r="Z313" s="20" t="str">
        <f t="shared" si="292"/>
        <v>Ordinary Pass</v>
      </c>
      <c r="AA313" s="12"/>
      <c r="AB313" s="47"/>
    </row>
    <row r="314" spans="2:28" ht="27" customHeight="1">
      <c r="B314" s="9">
        <v>307</v>
      </c>
      <c r="C314" s="19" t="s">
        <v>667</v>
      </c>
      <c r="D314" s="18" t="s">
        <v>668</v>
      </c>
      <c r="E314" s="15" t="s">
        <v>669</v>
      </c>
      <c r="F314" s="12">
        <v>64</v>
      </c>
      <c r="G314" s="12" t="str">
        <f t="shared" si="290"/>
        <v>C</v>
      </c>
      <c r="H314" s="12">
        <v>59</v>
      </c>
      <c r="I314" s="12" t="str">
        <f t="shared" si="277"/>
        <v>C</v>
      </c>
      <c r="J314" s="12">
        <v>36</v>
      </c>
      <c r="K314" s="12" t="str">
        <f t="shared" si="278"/>
        <v>S</v>
      </c>
      <c r="L314" s="12">
        <v>63</v>
      </c>
      <c r="M314" s="12" t="str">
        <f t="shared" si="279"/>
        <v>C</v>
      </c>
      <c r="N314" s="12">
        <v>39</v>
      </c>
      <c r="O314" s="12" t="str">
        <f t="shared" si="280"/>
        <v>S</v>
      </c>
      <c r="P314" s="12">
        <v>54</v>
      </c>
      <c r="Q314" s="12" t="str">
        <f t="shared" si="281"/>
        <v>S</v>
      </c>
      <c r="R314" s="12">
        <f t="shared" si="291"/>
        <v>315</v>
      </c>
      <c r="S314" s="12" t="str">
        <f t="shared" si="283"/>
        <v>53%</v>
      </c>
      <c r="T314" s="12">
        <f t="shared" si="284"/>
        <v>0</v>
      </c>
      <c r="U314" s="12">
        <f t="shared" si="285"/>
        <v>3</v>
      </c>
      <c r="V314" s="12">
        <f t="shared" si="286"/>
        <v>3</v>
      </c>
      <c r="W314" s="12">
        <f t="shared" si="287"/>
        <v>0</v>
      </c>
      <c r="X314" s="12">
        <f t="shared" si="288"/>
        <v>0</v>
      </c>
      <c r="Y314" s="19"/>
      <c r="Z314" s="20" t="str">
        <f t="shared" si="292"/>
        <v>Ordinary Pass</v>
      </c>
      <c r="AA314" s="12"/>
      <c r="AB314" s="47"/>
    </row>
    <row r="315" spans="2:28" ht="27" customHeight="1">
      <c r="B315" s="9">
        <v>308</v>
      </c>
      <c r="C315" s="19" t="s">
        <v>670</v>
      </c>
      <c r="D315" s="18" t="s">
        <v>671</v>
      </c>
      <c r="E315" s="15" t="s">
        <v>672</v>
      </c>
      <c r="F315" s="12">
        <v>63</v>
      </c>
      <c r="G315" s="12" t="str">
        <f t="shared" si="290"/>
        <v>C</v>
      </c>
      <c r="H315" s="12">
        <v>66</v>
      </c>
      <c r="I315" s="12" t="str">
        <f t="shared" si="277"/>
        <v>C</v>
      </c>
      <c r="J315" s="12">
        <v>66</v>
      </c>
      <c r="K315" s="12" t="str">
        <f t="shared" si="278"/>
        <v>C</v>
      </c>
      <c r="L315" s="12">
        <v>57</v>
      </c>
      <c r="M315" s="12" t="str">
        <f t="shared" si="279"/>
        <v>C</v>
      </c>
      <c r="N315" s="12">
        <v>52</v>
      </c>
      <c r="O315" s="12" t="str">
        <f t="shared" si="280"/>
        <v>S</v>
      </c>
      <c r="P315" s="12">
        <v>53</v>
      </c>
      <c r="Q315" s="12" t="str">
        <f t="shared" si="281"/>
        <v>S</v>
      </c>
      <c r="R315" s="12">
        <f t="shared" si="291"/>
        <v>357</v>
      </c>
      <c r="S315" s="12" t="str">
        <f t="shared" si="283"/>
        <v>60%</v>
      </c>
      <c r="T315" s="12">
        <f t="shared" si="284"/>
        <v>0</v>
      </c>
      <c r="U315" s="12">
        <f t="shared" si="285"/>
        <v>4</v>
      </c>
      <c r="V315" s="12">
        <f t="shared" si="286"/>
        <v>2</v>
      </c>
      <c r="W315" s="12">
        <f t="shared" si="287"/>
        <v>0</v>
      </c>
      <c r="X315" s="12">
        <f t="shared" si="288"/>
        <v>0</v>
      </c>
      <c r="Y315" s="19"/>
      <c r="Z315" s="20" t="str">
        <f t="shared" si="292"/>
        <v>Ordinary Pass</v>
      </c>
      <c r="AA315" s="12"/>
      <c r="AB315" s="47"/>
    </row>
    <row r="316" spans="2:28" ht="27" customHeight="1">
      <c r="B316" s="9">
        <v>309</v>
      </c>
      <c r="C316" s="19" t="s">
        <v>673</v>
      </c>
      <c r="D316" s="18" t="s">
        <v>674</v>
      </c>
      <c r="E316" s="15" t="s">
        <v>675</v>
      </c>
      <c r="F316" s="12">
        <v>65</v>
      </c>
      <c r="G316" s="12" t="str">
        <f t="shared" si="290"/>
        <v>C</v>
      </c>
      <c r="H316" s="12">
        <v>68</v>
      </c>
      <c r="I316" s="12" t="str">
        <f t="shared" si="277"/>
        <v>C</v>
      </c>
      <c r="J316" s="12">
        <v>70</v>
      </c>
      <c r="K316" s="12" t="str">
        <f t="shared" si="278"/>
        <v>C</v>
      </c>
      <c r="L316" s="12">
        <v>53</v>
      </c>
      <c r="M316" s="12" t="str">
        <f t="shared" si="279"/>
        <v>S</v>
      </c>
      <c r="N316" s="12">
        <v>53</v>
      </c>
      <c r="O316" s="12" t="str">
        <f t="shared" si="280"/>
        <v>S</v>
      </c>
      <c r="P316" s="12">
        <v>56</v>
      </c>
      <c r="Q316" s="12" t="str">
        <f t="shared" si="281"/>
        <v>C</v>
      </c>
      <c r="R316" s="12">
        <f t="shared" si="291"/>
        <v>365</v>
      </c>
      <c r="S316" s="12" t="str">
        <f t="shared" si="283"/>
        <v>61%</v>
      </c>
      <c r="T316" s="12">
        <f t="shared" si="284"/>
        <v>0</v>
      </c>
      <c r="U316" s="12">
        <f t="shared" si="285"/>
        <v>4</v>
      </c>
      <c r="V316" s="12">
        <f t="shared" si="286"/>
        <v>2</v>
      </c>
      <c r="W316" s="12">
        <f t="shared" si="287"/>
        <v>0</v>
      </c>
      <c r="X316" s="12">
        <f t="shared" si="288"/>
        <v>0</v>
      </c>
      <c r="Y316" s="19"/>
      <c r="Z316" s="20" t="str">
        <f t="shared" si="292"/>
        <v>Ordinary Pass</v>
      </c>
      <c r="AA316" s="12"/>
      <c r="AB316" s="47"/>
    </row>
    <row r="317" spans="2:28" ht="27" customHeight="1">
      <c r="B317" s="9">
        <v>310</v>
      </c>
      <c r="C317" s="19" t="s">
        <v>676</v>
      </c>
      <c r="D317" s="18" t="s">
        <v>677</v>
      </c>
      <c r="E317" s="15" t="s">
        <v>678</v>
      </c>
      <c r="F317" s="12">
        <v>40</v>
      </c>
      <c r="G317" s="12" t="str">
        <f t="shared" si="290"/>
        <v>S</v>
      </c>
      <c r="H317" s="12">
        <v>53</v>
      </c>
      <c r="I317" s="12" t="str">
        <f t="shared" si="277"/>
        <v>S</v>
      </c>
      <c r="J317" s="12">
        <v>58</v>
      </c>
      <c r="K317" s="12" t="str">
        <f t="shared" si="278"/>
        <v>C</v>
      </c>
      <c r="L317" s="12">
        <v>53</v>
      </c>
      <c r="M317" s="12" t="str">
        <f t="shared" si="279"/>
        <v>S</v>
      </c>
      <c r="N317" s="12">
        <v>51</v>
      </c>
      <c r="O317" s="12" t="str">
        <f t="shared" si="280"/>
        <v>S</v>
      </c>
      <c r="P317" s="12">
        <v>54</v>
      </c>
      <c r="Q317" s="12" t="str">
        <f t="shared" si="281"/>
        <v>S</v>
      </c>
      <c r="R317" s="12">
        <f t="shared" si="291"/>
        <v>309</v>
      </c>
      <c r="S317" s="12" t="str">
        <f t="shared" si="283"/>
        <v>52%</v>
      </c>
      <c r="T317" s="12">
        <f t="shared" si="284"/>
        <v>0</v>
      </c>
      <c r="U317" s="12">
        <f t="shared" si="285"/>
        <v>1</v>
      </c>
      <c r="V317" s="12">
        <f t="shared" si="286"/>
        <v>4</v>
      </c>
      <c r="W317" s="12">
        <f t="shared" si="287"/>
        <v>0</v>
      </c>
      <c r="X317" s="12">
        <f t="shared" si="288"/>
        <v>0</v>
      </c>
      <c r="Y317" s="19"/>
      <c r="Z317" s="20" t="str">
        <f t="shared" si="292"/>
        <v>Ordinary Pass</v>
      </c>
      <c r="AA317" s="12"/>
      <c r="AB317" s="47"/>
    </row>
    <row r="318" spans="2:28" ht="27" customHeight="1">
      <c r="B318" s="9">
        <v>311</v>
      </c>
      <c r="C318" s="19" t="s">
        <v>679</v>
      </c>
      <c r="D318" s="18" t="s">
        <v>680</v>
      </c>
      <c r="E318" s="15" t="s">
        <v>681</v>
      </c>
      <c r="F318" s="12">
        <v>40</v>
      </c>
      <c r="G318" s="12" t="str">
        <f t="shared" si="290"/>
        <v>S</v>
      </c>
      <c r="H318" s="12">
        <v>53</v>
      </c>
      <c r="I318" s="12" t="str">
        <f t="shared" si="277"/>
        <v>S</v>
      </c>
      <c r="J318" s="12">
        <v>37</v>
      </c>
      <c r="K318" s="12" t="str">
        <f t="shared" si="278"/>
        <v>S</v>
      </c>
      <c r="L318" s="12">
        <v>44</v>
      </c>
      <c r="M318" s="12" t="str">
        <f t="shared" si="279"/>
        <v>S</v>
      </c>
      <c r="N318" s="12">
        <v>51</v>
      </c>
      <c r="O318" s="12" t="str">
        <f t="shared" si="280"/>
        <v>S</v>
      </c>
      <c r="P318" s="12">
        <v>60</v>
      </c>
      <c r="Q318" s="12" t="str">
        <f t="shared" si="281"/>
        <v>C</v>
      </c>
      <c r="R318" s="12">
        <f t="shared" si="291"/>
        <v>285</v>
      </c>
      <c r="S318" s="12" t="str">
        <f t="shared" si="283"/>
        <v>48%</v>
      </c>
      <c r="T318" s="12">
        <f t="shared" si="284"/>
        <v>0</v>
      </c>
      <c r="U318" s="12">
        <f t="shared" si="285"/>
        <v>1</v>
      </c>
      <c r="V318" s="12">
        <f t="shared" si="286"/>
        <v>4</v>
      </c>
      <c r="W318" s="12">
        <f t="shared" si="287"/>
        <v>0</v>
      </c>
      <c r="X318" s="12">
        <f t="shared" si="288"/>
        <v>0</v>
      </c>
      <c r="Y318" s="19"/>
      <c r="Z318" s="20" t="str">
        <f t="shared" si="292"/>
        <v>Ordinary Pass</v>
      </c>
      <c r="AA318" s="12"/>
      <c r="AB318" s="47"/>
    </row>
    <row r="319" spans="2:28" ht="27" customHeight="1">
      <c r="B319" s="9">
        <v>312</v>
      </c>
      <c r="C319" s="19" t="s">
        <v>682</v>
      </c>
      <c r="D319" s="18" t="s">
        <v>683</v>
      </c>
      <c r="E319" s="15" t="s">
        <v>684</v>
      </c>
      <c r="F319" s="12">
        <v>53</v>
      </c>
      <c r="G319" s="12" t="str">
        <f t="shared" si="290"/>
        <v>S</v>
      </c>
      <c r="H319" s="12">
        <v>59</v>
      </c>
      <c r="I319" s="12" t="str">
        <f t="shared" si="277"/>
        <v>C</v>
      </c>
      <c r="J319" s="12">
        <v>57</v>
      </c>
      <c r="K319" s="12" t="str">
        <f t="shared" si="278"/>
        <v>C</v>
      </c>
      <c r="L319" s="12">
        <v>43</v>
      </c>
      <c r="M319" s="12" t="str">
        <f t="shared" si="279"/>
        <v>S</v>
      </c>
      <c r="N319" s="12">
        <v>42</v>
      </c>
      <c r="O319" s="12" t="str">
        <f t="shared" si="280"/>
        <v>S</v>
      </c>
      <c r="P319" s="12">
        <v>53</v>
      </c>
      <c r="Q319" s="12" t="str">
        <f t="shared" si="281"/>
        <v>S</v>
      </c>
      <c r="R319" s="12">
        <f t="shared" si="291"/>
        <v>307</v>
      </c>
      <c r="S319" s="12" t="str">
        <f t="shared" si="283"/>
        <v>51%</v>
      </c>
      <c r="T319" s="12">
        <f t="shared" si="284"/>
        <v>0</v>
      </c>
      <c r="U319" s="12">
        <f t="shared" si="285"/>
        <v>2</v>
      </c>
      <c r="V319" s="12">
        <f t="shared" si="286"/>
        <v>3</v>
      </c>
      <c r="W319" s="12">
        <f t="shared" si="287"/>
        <v>0</v>
      </c>
      <c r="X319" s="12">
        <f t="shared" si="288"/>
        <v>0</v>
      </c>
      <c r="Y319" s="19"/>
      <c r="Z319" s="20" t="str">
        <f t="shared" si="292"/>
        <v>Ordinary Pass</v>
      </c>
      <c r="AA319" s="12"/>
      <c r="AB319" s="47"/>
    </row>
    <row r="320" spans="2:28" ht="27" customHeight="1">
      <c r="B320" s="9">
        <v>313</v>
      </c>
      <c r="C320" s="19" t="s">
        <v>685</v>
      </c>
      <c r="D320" s="18">
        <v>198108000186</v>
      </c>
      <c r="E320" s="15" t="s">
        <v>686</v>
      </c>
      <c r="F320" s="12">
        <v>56</v>
      </c>
      <c r="G320" s="12" t="str">
        <f t="shared" si="290"/>
        <v>C</v>
      </c>
      <c r="H320" s="12">
        <v>55</v>
      </c>
      <c r="I320" s="12" t="str">
        <f t="shared" si="277"/>
        <v>C</v>
      </c>
      <c r="J320" s="12">
        <v>29</v>
      </c>
      <c r="K320" s="12" t="str">
        <f t="shared" si="278"/>
        <v>F</v>
      </c>
      <c r="L320" s="12">
        <v>42</v>
      </c>
      <c r="M320" s="12" t="str">
        <f t="shared" si="279"/>
        <v>S</v>
      </c>
      <c r="N320" s="12">
        <v>33</v>
      </c>
      <c r="O320" s="12" t="str">
        <f t="shared" si="280"/>
        <v>F</v>
      </c>
      <c r="P320" s="12">
        <v>54</v>
      </c>
      <c r="Q320" s="12" t="str">
        <f t="shared" si="281"/>
        <v>S</v>
      </c>
      <c r="R320" s="12">
        <f t="shared" si="291"/>
        <v>269</v>
      </c>
      <c r="S320" s="12" t="str">
        <f t="shared" si="283"/>
        <v>45%</v>
      </c>
      <c r="T320" s="12">
        <f t="shared" si="284"/>
        <v>0</v>
      </c>
      <c r="U320" s="12">
        <f t="shared" si="285"/>
        <v>2</v>
      </c>
      <c r="V320" s="12">
        <f t="shared" si="286"/>
        <v>2</v>
      </c>
      <c r="W320" s="12">
        <f t="shared" si="287"/>
        <v>2</v>
      </c>
      <c r="X320" s="12">
        <f t="shared" si="288"/>
        <v>0</v>
      </c>
      <c r="Y320" s="19"/>
      <c r="Z320" s="20" t="s">
        <v>6</v>
      </c>
      <c r="AA320" s="12" t="s">
        <v>687</v>
      </c>
      <c r="AB320" s="47"/>
    </row>
    <row r="321" spans="2:28" ht="27" customHeight="1">
      <c r="B321" s="9">
        <v>314</v>
      </c>
      <c r="C321" s="19" t="s">
        <v>688</v>
      </c>
      <c r="D321" s="18">
        <v>199081701349</v>
      </c>
      <c r="E321" s="15" t="s">
        <v>689</v>
      </c>
      <c r="F321" s="12">
        <v>35</v>
      </c>
      <c r="G321" s="12" t="str">
        <f t="shared" si="290"/>
        <v>S</v>
      </c>
      <c r="H321" s="12">
        <v>46</v>
      </c>
      <c r="I321" s="12" t="str">
        <f t="shared" si="277"/>
        <v>S</v>
      </c>
      <c r="J321" s="12">
        <v>36</v>
      </c>
      <c r="K321" s="12" t="str">
        <f t="shared" si="278"/>
        <v>S</v>
      </c>
      <c r="L321" s="12">
        <v>49</v>
      </c>
      <c r="M321" s="12" t="str">
        <f t="shared" si="279"/>
        <v>S</v>
      </c>
      <c r="N321" s="12">
        <v>37</v>
      </c>
      <c r="O321" s="12" t="str">
        <f t="shared" si="280"/>
        <v>S</v>
      </c>
      <c r="P321" s="12">
        <v>67</v>
      </c>
      <c r="Q321" s="12" t="str">
        <f t="shared" si="281"/>
        <v>C</v>
      </c>
      <c r="R321" s="12">
        <f t="shared" si="291"/>
        <v>270</v>
      </c>
      <c r="S321" s="12" t="str">
        <f t="shared" si="283"/>
        <v>45%</v>
      </c>
      <c r="T321" s="12">
        <f t="shared" si="284"/>
        <v>0</v>
      </c>
      <c r="U321" s="12">
        <f t="shared" si="285"/>
        <v>1</v>
      </c>
      <c r="V321" s="12">
        <f t="shared" si="286"/>
        <v>4</v>
      </c>
      <c r="W321" s="12">
        <f t="shared" si="287"/>
        <v>0</v>
      </c>
      <c r="X321" s="12">
        <f t="shared" si="288"/>
        <v>0</v>
      </c>
      <c r="Y321" s="19"/>
      <c r="Z321" s="20" t="s">
        <v>9</v>
      </c>
      <c r="AA321" s="12"/>
      <c r="AB321" s="47"/>
    </row>
    <row r="322" spans="2:28" ht="27" customHeight="1">
      <c r="B322" s="9">
        <v>315</v>
      </c>
      <c r="C322" s="19" t="s">
        <v>690</v>
      </c>
      <c r="D322" s="18" t="s">
        <v>691</v>
      </c>
      <c r="E322" s="15" t="s">
        <v>692</v>
      </c>
      <c r="F322" s="12">
        <v>26</v>
      </c>
      <c r="G322" s="12" t="str">
        <f t="shared" si="290"/>
        <v>F</v>
      </c>
      <c r="H322" s="12">
        <v>31</v>
      </c>
      <c r="I322" s="12" t="str">
        <f t="shared" si="277"/>
        <v>F</v>
      </c>
      <c r="J322" s="12">
        <v>17</v>
      </c>
      <c r="K322" s="12" t="str">
        <f t="shared" si="278"/>
        <v>F</v>
      </c>
      <c r="L322" s="12">
        <v>50</v>
      </c>
      <c r="M322" s="12" t="str">
        <f t="shared" si="279"/>
        <v>S</v>
      </c>
      <c r="N322" s="12">
        <v>47</v>
      </c>
      <c r="O322" s="12" t="str">
        <f t="shared" si="280"/>
        <v>S</v>
      </c>
      <c r="P322" s="12">
        <v>59</v>
      </c>
      <c r="Q322" s="12" t="str">
        <f t="shared" si="281"/>
        <v>C</v>
      </c>
      <c r="R322" s="12">
        <f t="shared" si="291"/>
        <v>230</v>
      </c>
      <c r="S322" s="12" t="str">
        <f t="shared" si="283"/>
        <v>38%</v>
      </c>
      <c r="T322" s="12">
        <f t="shared" si="284"/>
        <v>0</v>
      </c>
      <c r="U322" s="12">
        <f t="shared" si="285"/>
        <v>1</v>
      </c>
      <c r="V322" s="12">
        <f t="shared" si="286"/>
        <v>2</v>
      </c>
      <c r="W322" s="12">
        <f t="shared" si="287"/>
        <v>2</v>
      </c>
      <c r="X322" s="12">
        <f t="shared" si="288"/>
        <v>0</v>
      </c>
      <c r="Y322" s="19"/>
      <c r="Z322" s="20" t="s">
        <v>8</v>
      </c>
      <c r="AA322" s="12"/>
      <c r="AB322" s="47"/>
    </row>
    <row r="323" spans="2:28" ht="27" customHeight="1">
      <c r="B323" s="9">
        <v>316</v>
      </c>
      <c r="C323" s="19" t="s">
        <v>693</v>
      </c>
      <c r="D323" s="18" t="s">
        <v>694</v>
      </c>
      <c r="E323" s="15" t="s">
        <v>695</v>
      </c>
      <c r="F323" s="12">
        <v>17</v>
      </c>
      <c r="G323" s="12" t="str">
        <f t="shared" si="290"/>
        <v>F</v>
      </c>
      <c r="H323" s="12">
        <v>34</v>
      </c>
      <c r="I323" s="12" t="str">
        <f t="shared" si="277"/>
        <v>F</v>
      </c>
      <c r="J323" s="12">
        <v>21</v>
      </c>
      <c r="K323" s="12" t="str">
        <f t="shared" si="278"/>
        <v>F</v>
      </c>
      <c r="L323" s="12">
        <v>40</v>
      </c>
      <c r="M323" s="12" t="str">
        <f t="shared" si="279"/>
        <v>S</v>
      </c>
      <c r="N323" s="12">
        <v>20</v>
      </c>
      <c r="O323" s="12" t="str">
        <f t="shared" si="280"/>
        <v>F</v>
      </c>
      <c r="P323" s="12">
        <v>38</v>
      </c>
      <c r="Q323" s="12" t="str">
        <f t="shared" si="281"/>
        <v>S</v>
      </c>
      <c r="R323" s="12">
        <f t="shared" si="291"/>
        <v>170</v>
      </c>
      <c r="S323" s="12" t="str">
        <f t="shared" si="283"/>
        <v>28%</v>
      </c>
      <c r="T323" s="12">
        <f t="shared" si="284"/>
        <v>0</v>
      </c>
      <c r="U323" s="12">
        <f t="shared" si="285"/>
        <v>0</v>
      </c>
      <c r="V323" s="12">
        <f t="shared" si="286"/>
        <v>2</v>
      </c>
      <c r="W323" s="12">
        <f t="shared" si="287"/>
        <v>3</v>
      </c>
      <c r="X323" s="12">
        <f t="shared" si="288"/>
        <v>0</v>
      </c>
      <c r="Y323" s="19"/>
      <c r="Z323" s="20" t="s">
        <v>8</v>
      </c>
      <c r="AA323" s="12"/>
      <c r="AB323" s="47"/>
    </row>
    <row r="324" spans="2:28" ht="27" customHeight="1">
      <c r="B324" s="9">
        <v>317</v>
      </c>
      <c r="C324" s="19" t="s">
        <v>696</v>
      </c>
      <c r="D324" s="18" t="s">
        <v>697</v>
      </c>
      <c r="E324" s="15" t="s">
        <v>698</v>
      </c>
      <c r="F324" s="12">
        <v>55</v>
      </c>
      <c r="G324" s="12" t="str">
        <f t="shared" si="290"/>
        <v>C</v>
      </c>
      <c r="H324" s="12">
        <v>67</v>
      </c>
      <c r="I324" s="12" t="str">
        <f t="shared" si="277"/>
        <v>C</v>
      </c>
      <c r="J324" s="12">
        <v>36</v>
      </c>
      <c r="K324" s="12" t="str">
        <f t="shared" si="278"/>
        <v>S</v>
      </c>
      <c r="L324" s="12">
        <v>36</v>
      </c>
      <c r="M324" s="12" t="str">
        <f t="shared" si="279"/>
        <v>S</v>
      </c>
      <c r="N324" s="12">
        <v>50</v>
      </c>
      <c r="O324" s="12" t="str">
        <f t="shared" si="280"/>
        <v>S</v>
      </c>
      <c r="P324" s="12">
        <v>51</v>
      </c>
      <c r="Q324" s="12" t="str">
        <f t="shared" si="281"/>
        <v>S</v>
      </c>
      <c r="R324" s="12">
        <f t="shared" si="291"/>
        <v>295</v>
      </c>
      <c r="S324" s="12" t="str">
        <f t="shared" si="283"/>
        <v>49%</v>
      </c>
      <c r="T324" s="12">
        <f t="shared" si="284"/>
        <v>0</v>
      </c>
      <c r="U324" s="12">
        <f t="shared" si="285"/>
        <v>2</v>
      </c>
      <c r="V324" s="12">
        <f t="shared" si="286"/>
        <v>4</v>
      </c>
      <c r="W324" s="12">
        <f t="shared" si="287"/>
        <v>0</v>
      </c>
      <c r="X324" s="12">
        <f t="shared" si="288"/>
        <v>0</v>
      </c>
      <c r="Y324" s="19"/>
      <c r="Z324" s="20" t="str">
        <f t="shared" si="292"/>
        <v>Ordinary Pass</v>
      </c>
      <c r="AA324" s="12"/>
      <c r="AB324" s="47"/>
    </row>
    <row r="325" spans="2:28" ht="27" customHeight="1">
      <c r="B325" s="9">
        <v>318</v>
      </c>
      <c r="C325" s="19" t="s">
        <v>699</v>
      </c>
      <c r="D325" s="18">
        <v>197879300204</v>
      </c>
      <c r="E325" s="15" t="s">
        <v>700</v>
      </c>
      <c r="F325" s="12">
        <v>70</v>
      </c>
      <c r="G325" s="12" t="str">
        <f t="shared" si="290"/>
        <v>C</v>
      </c>
      <c r="H325" s="12">
        <v>56</v>
      </c>
      <c r="I325" s="12" t="str">
        <f t="shared" si="277"/>
        <v>C</v>
      </c>
      <c r="J325" s="12">
        <v>50</v>
      </c>
      <c r="K325" s="12" t="str">
        <f t="shared" si="278"/>
        <v>S</v>
      </c>
      <c r="L325" s="12">
        <v>45</v>
      </c>
      <c r="M325" s="12" t="str">
        <f t="shared" si="279"/>
        <v>S</v>
      </c>
      <c r="N325" s="12">
        <v>35</v>
      </c>
      <c r="O325" s="12" t="str">
        <f t="shared" si="280"/>
        <v>S</v>
      </c>
      <c r="P325" s="12">
        <v>50</v>
      </c>
      <c r="Q325" s="12" t="str">
        <f t="shared" si="281"/>
        <v>S</v>
      </c>
      <c r="R325" s="12">
        <f t="shared" si="291"/>
        <v>306</v>
      </c>
      <c r="S325" s="12" t="str">
        <f t="shared" si="283"/>
        <v>51%</v>
      </c>
      <c r="T325" s="12">
        <f t="shared" si="284"/>
        <v>0</v>
      </c>
      <c r="U325" s="12">
        <f t="shared" si="285"/>
        <v>2</v>
      </c>
      <c r="V325" s="12">
        <f t="shared" si="286"/>
        <v>4</v>
      </c>
      <c r="W325" s="12">
        <f t="shared" si="287"/>
        <v>0</v>
      </c>
      <c r="X325" s="12">
        <f t="shared" si="288"/>
        <v>0</v>
      </c>
      <c r="Y325" s="19"/>
      <c r="Z325" s="20" t="s">
        <v>9</v>
      </c>
      <c r="AA325" s="12"/>
      <c r="AB325" s="47"/>
    </row>
    <row r="326" spans="2:28" ht="27" customHeight="1">
      <c r="B326" s="9">
        <v>319</v>
      </c>
      <c r="C326" s="19" t="s">
        <v>701</v>
      </c>
      <c r="D326" s="18" t="s">
        <v>702</v>
      </c>
      <c r="E326" s="15" t="s">
        <v>703</v>
      </c>
      <c r="F326" s="12">
        <v>59</v>
      </c>
      <c r="G326" s="12" t="str">
        <f t="shared" si="290"/>
        <v>C</v>
      </c>
      <c r="H326" s="12">
        <v>65</v>
      </c>
      <c r="I326" s="12" t="str">
        <f t="shared" si="277"/>
        <v>C</v>
      </c>
      <c r="J326" s="12">
        <v>57</v>
      </c>
      <c r="K326" s="12" t="str">
        <f t="shared" si="278"/>
        <v>C</v>
      </c>
      <c r="L326" s="12">
        <v>54</v>
      </c>
      <c r="M326" s="12" t="str">
        <f t="shared" si="279"/>
        <v>S</v>
      </c>
      <c r="N326" s="12">
        <v>55</v>
      </c>
      <c r="O326" s="12" t="str">
        <f t="shared" si="280"/>
        <v>C</v>
      </c>
      <c r="P326" s="12">
        <v>51</v>
      </c>
      <c r="Q326" s="12" t="str">
        <f t="shared" si="281"/>
        <v>S</v>
      </c>
      <c r="R326" s="12">
        <f t="shared" si="291"/>
        <v>341</v>
      </c>
      <c r="S326" s="12" t="str">
        <f t="shared" si="283"/>
        <v>57%</v>
      </c>
      <c r="T326" s="12">
        <f t="shared" si="284"/>
        <v>0</v>
      </c>
      <c r="U326" s="12">
        <f t="shared" si="285"/>
        <v>4</v>
      </c>
      <c r="V326" s="12">
        <f t="shared" si="286"/>
        <v>2</v>
      </c>
      <c r="W326" s="12">
        <f t="shared" si="287"/>
        <v>0</v>
      </c>
      <c r="X326" s="12">
        <f t="shared" si="288"/>
        <v>0</v>
      </c>
      <c r="Y326" s="19"/>
      <c r="Z326" s="20" t="str">
        <f t="shared" ref="Z326:Z327" si="293">IF(X326&gt;0, "Not Completed",
   IF(T326=10, "First Class",
      IF(S326&gt;75, IF(V326&gt;0, "Ordinary Pass", "First Class"),
         IF(S326&gt;65, IF(V326&gt;0, "Ordinary Pass", "Second Class"), "none")
      )
   )
)</f>
        <v>Ordinary Pass</v>
      </c>
      <c r="AA326" s="12"/>
      <c r="AB326" s="47"/>
    </row>
    <row r="327" spans="2:28" ht="27" customHeight="1">
      <c r="B327" s="9">
        <v>320</v>
      </c>
      <c r="C327" s="19" t="s">
        <v>704</v>
      </c>
      <c r="D327" s="18" t="s">
        <v>705</v>
      </c>
      <c r="E327" s="15" t="s">
        <v>706</v>
      </c>
      <c r="F327" s="12">
        <v>37</v>
      </c>
      <c r="G327" s="12" t="str">
        <f t="shared" si="290"/>
        <v>S</v>
      </c>
      <c r="H327" s="12">
        <v>56</v>
      </c>
      <c r="I327" s="12" t="str">
        <f t="shared" si="277"/>
        <v>C</v>
      </c>
      <c r="J327" s="12">
        <v>39</v>
      </c>
      <c r="K327" s="12" t="str">
        <f t="shared" si="278"/>
        <v>S</v>
      </c>
      <c r="L327" s="12">
        <v>44</v>
      </c>
      <c r="M327" s="12" t="str">
        <f t="shared" si="279"/>
        <v>S</v>
      </c>
      <c r="N327" s="12">
        <v>38</v>
      </c>
      <c r="O327" s="12" t="str">
        <f t="shared" si="280"/>
        <v>S</v>
      </c>
      <c r="P327" s="12">
        <v>47</v>
      </c>
      <c r="Q327" s="12" t="str">
        <f t="shared" si="281"/>
        <v>S</v>
      </c>
      <c r="R327" s="12">
        <f t="shared" si="291"/>
        <v>261</v>
      </c>
      <c r="S327" s="12" t="str">
        <f t="shared" si="283"/>
        <v>44%</v>
      </c>
      <c r="T327" s="12">
        <f t="shared" si="284"/>
        <v>0</v>
      </c>
      <c r="U327" s="12">
        <f t="shared" si="285"/>
        <v>1</v>
      </c>
      <c r="V327" s="12">
        <f t="shared" si="286"/>
        <v>4</v>
      </c>
      <c r="W327" s="12">
        <f t="shared" si="287"/>
        <v>0</v>
      </c>
      <c r="X327" s="12">
        <f t="shared" si="288"/>
        <v>0</v>
      </c>
      <c r="Y327" s="19"/>
      <c r="Z327" s="20" t="str">
        <f t="shared" si="293"/>
        <v>Ordinary Pass</v>
      </c>
      <c r="AA327" s="12"/>
      <c r="AB327" s="47"/>
    </row>
    <row r="328" spans="2:28" ht="27" customHeight="1">
      <c r="B328" s="9">
        <v>321</v>
      </c>
      <c r="C328" s="19" t="s">
        <v>707</v>
      </c>
      <c r="D328" s="18" t="s">
        <v>708</v>
      </c>
      <c r="E328" s="15" t="s">
        <v>709</v>
      </c>
      <c r="F328" s="12">
        <v>57</v>
      </c>
      <c r="G328" s="12" t="str">
        <f t="shared" ref="G328:G339" si="294">IF(F328="-", "AB", IF(F328&gt;=75, "D", IF(F328&gt;=55, "C", IF(F328&gt;=35, "S", IF(F328&gt;=0, "F")))))</f>
        <v>C</v>
      </c>
      <c r="H328" s="12">
        <v>52</v>
      </c>
      <c r="I328" s="12" t="str">
        <f t="shared" ref="I328:I347" si="295">IF(H328="-", "AB", IF(H328&gt;=75, "D", IF(H328&gt;=55, "C", IF(H328&gt;=35, "S", IF(H328&gt;=0, "F")))))</f>
        <v>S</v>
      </c>
      <c r="J328" s="12">
        <v>47</v>
      </c>
      <c r="K328" s="12" t="str">
        <f t="shared" ref="K328:K347" si="296">IF(J328="-", "AB", IF(J328&gt;=75, "D", IF(J328&gt;=55, "C", IF(J328&gt;=35, "S", IF(J328&gt;=0, "F")))))</f>
        <v>S</v>
      </c>
      <c r="L328" s="12">
        <v>46</v>
      </c>
      <c r="M328" s="12" t="str">
        <f t="shared" ref="M328:M347" si="297">IF(L328="-", "AB", IF(L328&gt;=75, "D", IF(L328&gt;=55, "C", IF(L328&gt;=35, "S", IF(L328&gt;=0, "F")))))</f>
        <v>S</v>
      </c>
      <c r="N328" s="12">
        <v>38</v>
      </c>
      <c r="O328" s="12" t="str">
        <f t="shared" ref="O328:O347" si="298">IF(N328="-", "AB", IF(N328&gt;=75, "D", IF(N328&gt;=55, "C", IF(N328&gt;=35, "S", IF(N328&gt;=0, "F")))))</f>
        <v>S</v>
      </c>
      <c r="P328" s="12">
        <v>54</v>
      </c>
      <c r="Q328" s="12" t="str">
        <f t="shared" ref="Q328:Q347" si="299">IF(P328="-", "AB", IF(P328&gt;=75, "D", IF(P328&gt;=55, "C", IF(P328&gt;=35, "S", IF(P328&gt;=0, "F")))))</f>
        <v>S</v>
      </c>
      <c r="R328" s="12">
        <f t="shared" ref="R328:R339" si="300">SUM(F328+H328+J328+L328+N328+P328)</f>
        <v>294</v>
      </c>
      <c r="S328" s="12" t="str">
        <f t="shared" ref="S328:S347" si="301">ROUND(R328/6, 0)&amp;"%"</f>
        <v>49%</v>
      </c>
      <c r="T328" s="12">
        <f t="shared" ref="T328:T347" si="302">COUNTIF(F328:Q328, "D")</f>
        <v>0</v>
      </c>
      <c r="U328" s="12">
        <f t="shared" ref="U328:U347" si="303">COUNTIF(G328:T328, "C")</f>
        <v>1</v>
      </c>
      <c r="V328" s="12">
        <f t="shared" ref="V328:V347" si="304">COUNTIF(H328:U328, "S")</f>
        <v>5</v>
      </c>
      <c r="W328" s="12">
        <f t="shared" ref="W328:W347" si="305">COUNTIF(I328:V328, "F")</f>
        <v>0</v>
      </c>
      <c r="X328" s="12">
        <f t="shared" ref="X328:X347" si="306">COUNTIF(F328:W328, "-")</f>
        <v>0</v>
      </c>
      <c r="Y328" s="19"/>
      <c r="Z328" s="20" t="str">
        <f t="shared" ref="Z328:Z339" si="307">IF(X328&gt;0, "Not Completed",
   IF(T328=10, "First Class",
      IF(S328&gt;75, IF(V328&gt;0, "Ordinary Pass", "First Class"),
         IF(S328&gt;65, IF(V328&gt;0, "Ordinary Pass", "Second Class"), "none")
      )
   )
)</f>
        <v>Ordinary Pass</v>
      </c>
      <c r="AA328" s="12"/>
      <c r="AB328" s="47"/>
    </row>
    <row r="329" spans="2:28" ht="27" customHeight="1">
      <c r="B329" s="9">
        <v>322</v>
      </c>
      <c r="C329" s="19" t="s">
        <v>710</v>
      </c>
      <c r="D329" s="18" t="s">
        <v>711</v>
      </c>
      <c r="E329" s="15" t="s">
        <v>712</v>
      </c>
      <c r="F329" s="12">
        <v>47</v>
      </c>
      <c r="G329" s="12" t="str">
        <f t="shared" si="294"/>
        <v>S</v>
      </c>
      <c r="H329" s="12">
        <v>51</v>
      </c>
      <c r="I329" s="12" t="str">
        <f t="shared" si="295"/>
        <v>S</v>
      </c>
      <c r="J329" s="12">
        <v>45</v>
      </c>
      <c r="K329" s="12" t="str">
        <f t="shared" si="296"/>
        <v>S</v>
      </c>
      <c r="L329" s="12">
        <v>46</v>
      </c>
      <c r="M329" s="12" t="str">
        <f t="shared" si="297"/>
        <v>S</v>
      </c>
      <c r="N329" s="12">
        <v>47</v>
      </c>
      <c r="O329" s="12" t="str">
        <f t="shared" si="298"/>
        <v>S</v>
      </c>
      <c r="P329" s="12">
        <v>47</v>
      </c>
      <c r="Q329" s="12" t="str">
        <f t="shared" si="299"/>
        <v>S</v>
      </c>
      <c r="R329" s="12">
        <f t="shared" si="300"/>
        <v>283</v>
      </c>
      <c r="S329" s="12" t="str">
        <f t="shared" si="301"/>
        <v>47%</v>
      </c>
      <c r="T329" s="12">
        <f t="shared" si="302"/>
        <v>0</v>
      </c>
      <c r="U329" s="12">
        <f t="shared" si="303"/>
        <v>0</v>
      </c>
      <c r="V329" s="12">
        <f t="shared" si="304"/>
        <v>5</v>
      </c>
      <c r="W329" s="12">
        <f t="shared" si="305"/>
        <v>0</v>
      </c>
      <c r="X329" s="12">
        <f t="shared" si="306"/>
        <v>0</v>
      </c>
      <c r="Y329" s="19"/>
      <c r="Z329" s="20" t="str">
        <f t="shared" si="307"/>
        <v>Ordinary Pass</v>
      </c>
      <c r="AA329" s="12"/>
      <c r="AB329" s="47"/>
    </row>
    <row r="330" spans="2:28" ht="27" customHeight="1">
      <c r="B330" s="9">
        <v>323</v>
      </c>
      <c r="C330" s="19" t="s">
        <v>713</v>
      </c>
      <c r="D330" s="18" t="s">
        <v>714</v>
      </c>
      <c r="E330" s="15" t="s">
        <v>715</v>
      </c>
      <c r="F330" s="12">
        <v>40</v>
      </c>
      <c r="G330" s="12" t="str">
        <f t="shared" si="294"/>
        <v>S</v>
      </c>
      <c r="H330" s="12">
        <v>55</v>
      </c>
      <c r="I330" s="12" t="str">
        <f t="shared" si="295"/>
        <v>C</v>
      </c>
      <c r="J330" s="12">
        <v>44</v>
      </c>
      <c r="K330" s="12" t="str">
        <f t="shared" si="296"/>
        <v>S</v>
      </c>
      <c r="L330" s="12">
        <v>50</v>
      </c>
      <c r="M330" s="12" t="str">
        <f t="shared" si="297"/>
        <v>S</v>
      </c>
      <c r="N330" s="12">
        <v>35</v>
      </c>
      <c r="O330" s="12" t="str">
        <f t="shared" si="298"/>
        <v>S</v>
      </c>
      <c r="P330" s="12">
        <v>37</v>
      </c>
      <c r="Q330" s="12" t="str">
        <f t="shared" si="299"/>
        <v>S</v>
      </c>
      <c r="R330" s="12">
        <f t="shared" si="300"/>
        <v>261</v>
      </c>
      <c r="S330" s="12" t="str">
        <f t="shared" si="301"/>
        <v>44%</v>
      </c>
      <c r="T330" s="12">
        <f t="shared" si="302"/>
        <v>0</v>
      </c>
      <c r="U330" s="12">
        <f t="shared" si="303"/>
        <v>1</v>
      </c>
      <c r="V330" s="12">
        <f t="shared" si="304"/>
        <v>4</v>
      </c>
      <c r="W330" s="12">
        <f t="shared" si="305"/>
        <v>0</v>
      </c>
      <c r="X330" s="12">
        <f t="shared" si="306"/>
        <v>0</v>
      </c>
      <c r="Y330" s="19"/>
      <c r="Z330" s="20" t="s">
        <v>9</v>
      </c>
      <c r="AA330" s="12"/>
      <c r="AB330" s="47"/>
    </row>
    <row r="331" spans="2:28" ht="27" customHeight="1">
      <c r="B331" s="9">
        <v>324</v>
      </c>
      <c r="C331" s="19" t="s">
        <v>716</v>
      </c>
      <c r="D331" s="18" t="s">
        <v>717</v>
      </c>
      <c r="E331" s="15" t="s">
        <v>718</v>
      </c>
      <c r="F331" s="12">
        <v>10</v>
      </c>
      <c r="G331" s="12" t="str">
        <f t="shared" si="294"/>
        <v>F</v>
      </c>
      <c r="H331" s="12">
        <v>26</v>
      </c>
      <c r="I331" s="12" t="str">
        <f t="shared" si="295"/>
        <v>F</v>
      </c>
      <c r="J331" s="12">
        <v>29</v>
      </c>
      <c r="K331" s="12" t="str">
        <f t="shared" si="296"/>
        <v>F</v>
      </c>
      <c r="L331" s="12">
        <v>42</v>
      </c>
      <c r="M331" s="12" t="str">
        <f t="shared" si="297"/>
        <v>S</v>
      </c>
      <c r="N331" s="12">
        <v>29</v>
      </c>
      <c r="O331" s="12" t="str">
        <f t="shared" si="298"/>
        <v>F</v>
      </c>
      <c r="P331" s="12">
        <v>34</v>
      </c>
      <c r="Q331" s="12" t="str">
        <f t="shared" si="299"/>
        <v>F</v>
      </c>
      <c r="R331" s="12">
        <f t="shared" si="300"/>
        <v>170</v>
      </c>
      <c r="S331" s="12" t="str">
        <f t="shared" si="301"/>
        <v>28%</v>
      </c>
      <c r="T331" s="12">
        <f t="shared" si="302"/>
        <v>0</v>
      </c>
      <c r="U331" s="12">
        <f t="shared" si="303"/>
        <v>0</v>
      </c>
      <c r="V331" s="12">
        <f t="shared" si="304"/>
        <v>1</v>
      </c>
      <c r="W331" s="12">
        <f t="shared" si="305"/>
        <v>4</v>
      </c>
      <c r="X331" s="12">
        <f t="shared" si="306"/>
        <v>0</v>
      </c>
      <c r="Y331" s="19"/>
      <c r="Z331" s="20" t="s">
        <v>8</v>
      </c>
      <c r="AA331" s="12"/>
      <c r="AB331" s="47"/>
    </row>
    <row r="332" spans="2:28" ht="27" customHeight="1">
      <c r="B332" s="9">
        <v>325</v>
      </c>
      <c r="C332" s="19" t="s">
        <v>719</v>
      </c>
      <c r="D332" s="18" t="s">
        <v>720</v>
      </c>
      <c r="E332" s="15" t="s">
        <v>721</v>
      </c>
      <c r="F332" s="12">
        <v>62</v>
      </c>
      <c r="G332" s="12" t="str">
        <f t="shared" si="294"/>
        <v>C</v>
      </c>
      <c r="H332" s="12">
        <v>68</v>
      </c>
      <c r="I332" s="12" t="str">
        <f t="shared" si="295"/>
        <v>C</v>
      </c>
      <c r="J332" s="12">
        <v>55</v>
      </c>
      <c r="K332" s="12" t="str">
        <f t="shared" si="296"/>
        <v>C</v>
      </c>
      <c r="L332" s="12">
        <v>61</v>
      </c>
      <c r="M332" s="12" t="str">
        <f t="shared" si="297"/>
        <v>C</v>
      </c>
      <c r="N332" s="12">
        <v>62</v>
      </c>
      <c r="O332" s="12" t="str">
        <f t="shared" si="298"/>
        <v>C</v>
      </c>
      <c r="P332" s="12">
        <v>62</v>
      </c>
      <c r="Q332" s="12" t="str">
        <f t="shared" si="299"/>
        <v>C</v>
      </c>
      <c r="R332" s="12">
        <f t="shared" si="300"/>
        <v>370</v>
      </c>
      <c r="S332" s="12" t="str">
        <f t="shared" si="301"/>
        <v>62%</v>
      </c>
      <c r="T332" s="12">
        <f t="shared" si="302"/>
        <v>0</v>
      </c>
      <c r="U332" s="12">
        <f t="shared" si="303"/>
        <v>6</v>
      </c>
      <c r="V332" s="12">
        <f t="shared" si="304"/>
        <v>0</v>
      </c>
      <c r="W332" s="12">
        <f t="shared" si="305"/>
        <v>0</v>
      </c>
      <c r="X332" s="12">
        <f t="shared" si="306"/>
        <v>0</v>
      </c>
      <c r="Y332" s="19"/>
      <c r="Z332" s="37" t="s">
        <v>784</v>
      </c>
      <c r="AA332" s="12"/>
      <c r="AB332" s="47"/>
    </row>
    <row r="333" spans="2:28" ht="27" customHeight="1">
      <c r="B333" s="9">
        <v>326</v>
      </c>
      <c r="C333" s="19" t="s">
        <v>722</v>
      </c>
      <c r="D333" s="18">
        <v>197878102678</v>
      </c>
      <c r="E333" s="15" t="s">
        <v>723</v>
      </c>
      <c r="F333" s="12">
        <v>55</v>
      </c>
      <c r="G333" s="12" t="str">
        <f t="shared" si="294"/>
        <v>C</v>
      </c>
      <c r="H333" s="12">
        <v>53</v>
      </c>
      <c r="I333" s="12" t="str">
        <f t="shared" si="295"/>
        <v>S</v>
      </c>
      <c r="J333" s="12">
        <v>47</v>
      </c>
      <c r="K333" s="12" t="str">
        <f t="shared" si="296"/>
        <v>S</v>
      </c>
      <c r="L333" s="12">
        <v>49</v>
      </c>
      <c r="M333" s="12" t="str">
        <f t="shared" si="297"/>
        <v>S</v>
      </c>
      <c r="N333" s="12">
        <v>61</v>
      </c>
      <c r="O333" s="12" t="str">
        <f t="shared" si="298"/>
        <v>C</v>
      </c>
      <c r="P333" s="12">
        <v>63</v>
      </c>
      <c r="Q333" s="12" t="str">
        <f t="shared" si="299"/>
        <v>C</v>
      </c>
      <c r="R333" s="12">
        <f t="shared" si="300"/>
        <v>328</v>
      </c>
      <c r="S333" s="12" t="str">
        <f t="shared" si="301"/>
        <v>55%</v>
      </c>
      <c r="T333" s="12">
        <f t="shared" si="302"/>
        <v>0</v>
      </c>
      <c r="U333" s="12">
        <f t="shared" si="303"/>
        <v>3</v>
      </c>
      <c r="V333" s="12">
        <f t="shared" si="304"/>
        <v>3</v>
      </c>
      <c r="W333" s="12">
        <f t="shared" si="305"/>
        <v>0</v>
      </c>
      <c r="X333" s="12">
        <f t="shared" si="306"/>
        <v>0</v>
      </c>
      <c r="Y333" s="19"/>
      <c r="Z333" s="20" t="str">
        <f t="shared" si="307"/>
        <v>Ordinary Pass</v>
      </c>
      <c r="AA333" s="12"/>
      <c r="AB333" s="47"/>
    </row>
    <row r="334" spans="2:28" ht="27" customHeight="1">
      <c r="B334" s="9">
        <v>327</v>
      </c>
      <c r="C334" s="19" t="s">
        <v>724</v>
      </c>
      <c r="D334" s="18" t="s">
        <v>725</v>
      </c>
      <c r="E334" s="15" t="s">
        <v>726</v>
      </c>
      <c r="F334" s="12">
        <v>58</v>
      </c>
      <c r="G334" s="12" t="str">
        <f t="shared" si="294"/>
        <v>C</v>
      </c>
      <c r="H334" s="12">
        <v>33</v>
      </c>
      <c r="I334" s="12" t="str">
        <f t="shared" si="295"/>
        <v>F</v>
      </c>
      <c r="J334" s="12">
        <v>34</v>
      </c>
      <c r="K334" s="12" t="str">
        <f t="shared" si="296"/>
        <v>F</v>
      </c>
      <c r="L334" s="12">
        <v>33</v>
      </c>
      <c r="M334" s="12" t="str">
        <f t="shared" si="297"/>
        <v>F</v>
      </c>
      <c r="N334" s="12">
        <v>43</v>
      </c>
      <c r="O334" s="12" t="str">
        <f t="shared" si="298"/>
        <v>S</v>
      </c>
      <c r="P334" s="12">
        <v>45</v>
      </c>
      <c r="Q334" s="12" t="str">
        <f t="shared" si="299"/>
        <v>S</v>
      </c>
      <c r="R334" s="12">
        <f t="shared" si="300"/>
        <v>246</v>
      </c>
      <c r="S334" s="12" t="str">
        <f t="shared" si="301"/>
        <v>41%</v>
      </c>
      <c r="T334" s="12">
        <f t="shared" si="302"/>
        <v>0</v>
      </c>
      <c r="U334" s="12">
        <f t="shared" si="303"/>
        <v>1</v>
      </c>
      <c r="V334" s="12">
        <f t="shared" si="304"/>
        <v>2</v>
      </c>
      <c r="W334" s="12">
        <f t="shared" si="305"/>
        <v>3</v>
      </c>
      <c r="X334" s="12">
        <f t="shared" si="306"/>
        <v>0</v>
      </c>
      <c r="Y334" s="19"/>
      <c r="Z334" s="20" t="s">
        <v>8</v>
      </c>
      <c r="AA334" s="12"/>
      <c r="AB334" s="47"/>
    </row>
    <row r="335" spans="2:28" ht="27" customHeight="1">
      <c r="B335" s="9">
        <v>328</v>
      </c>
      <c r="C335" s="19" t="s">
        <v>727</v>
      </c>
      <c r="D335" s="18" t="s">
        <v>728</v>
      </c>
      <c r="E335" s="15" t="s">
        <v>729</v>
      </c>
      <c r="F335" s="12">
        <v>64</v>
      </c>
      <c r="G335" s="12" t="str">
        <f t="shared" si="294"/>
        <v>C</v>
      </c>
      <c r="H335" s="12">
        <v>80</v>
      </c>
      <c r="I335" s="12" t="str">
        <f t="shared" si="295"/>
        <v>D</v>
      </c>
      <c r="J335" s="12">
        <v>63</v>
      </c>
      <c r="K335" s="12" t="str">
        <f t="shared" si="296"/>
        <v>C</v>
      </c>
      <c r="L335" s="12">
        <v>59</v>
      </c>
      <c r="M335" s="12" t="str">
        <f t="shared" si="297"/>
        <v>C</v>
      </c>
      <c r="N335" s="12">
        <v>74</v>
      </c>
      <c r="O335" s="12" t="str">
        <f t="shared" si="298"/>
        <v>C</v>
      </c>
      <c r="P335" s="12">
        <v>61</v>
      </c>
      <c r="Q335" s="12" t="str">
        <f t="shared" si="299"/>
        <v>C</v>
      </c>
      <c r="R335" s="12">
        <f t="shared" si="300"/>
        <v>401</v>
      </c>
      <c r="S335" s="12" t="str">
        <f t="shared" si="301"/>
        <v>67%</v>
      </c>
      <c r="T335" s="12">
        <f t="shared" si="302"/>
        <v>1</v>
      </c>
      <c r="U335" s="12">
        <f t="shared" si="303"/>
        <v>5</v>
      </c>
      <c r="V335" s="12">
        <f t="shared" si="304"/>
        <v>0</v>
      </c>
      <c r="W335" s="12">
        <f t="shared" si="305"/>
        <v>0</v>
      </c>
      <c r="X335" s="12">
        <f t="shared" si="306"/>
        <v>0</v>
      </c>
      <c r="Y335" s="19"/>
      <c r="Z335" s="20" t="s">
        <v>10</v>
      </c>
      <c r="AA335" s="12"/>
      <c r="AB335" s="47"/>
    </row>
    <row r="336" spans="2:28" ht="27" customHeight="1">
      <c r="B336" s="9">
        <v>329</v>
      </c>
      <c r="C336" s="19" t="s">
        <v>730</v>
      </c>
      <c r="D336" s="18" t="s">
        <v>731</v>
      </c>
      <c r="E336" s="15" t="s">
        <v>732</v>
      </c>
      <c r="F336" s="12">
        <v>67</v>
      </c>
      <c r="G336" s="12" t="str">
        <f t="shared" si="294"/>
        <v>C</v>
      </c>
      <c r="H336" s="12">
        <v>73</v>
      </c>
      <c r="I336" s="12" t="str">
        <f t="shared" si="295"/>
        <v>C</v>
      </c>
      <c r="J336" s="12">
        <v>62</v>
      </c>
      <c r="K336" s="12" t="str">
        <f t="shared" si="296"/>
        <v>C</v>
      </c>
      <c r="L336" s="12">
        <v>55</v>
      </c>
      <c r="M336" s="12" t="str">
        <f t="shared" si="297"/>
        <v>C</v>
      </c>
      <c r="N336" s="12">
        <v>78</v>
      </c>
      <c r="O336" s="12" t="str">
        <f t="shared" si="298"/>
        <v>D</v>
      </c>
      <c r="P336" s="12">
        <v>61</v>
      </c>
      <c r="Q336" s="12" t="str">
        <f t="shared" si="299"/>
        <v>C</v>
      </c>
      <c r="R336" s="12">
        <f t="shared" si="300"/>
        <v>396</v>
      </c>
      <c r="S336" s="12" t="str">
        <f t="shared" si="301"/>
        <v>66%</v>
      </c>
      <c r="T336" s="12">
        <f t="shared" si="302"/>
        <v>1</v>
      </c>
      <c r="U336" s="12">
        <f t="shared" si="303"/>
        <v>5</v>
      </c>
      <c r="V336" s="12">
        <f t="shared" si="304"/>
        <v>0</v>
      </c>
      <c r="W336" s="12">
        <f t="shared" si="305"/>
        <v>0</v>
      </c>
      <c r="X336" s="12">
        <f t="shared" si="306"/>
        <v>0</v>
      </c>
      <c r="Y336" s="19"/>
      <c r="Z336" s="20" t="s">
        <v>10</v>
      </c>
      <c r="AA336" s="12"/>
      <c r="AB336" s="47"/>
    </row>
    <row r="337" spans="2:28" ht="27" customHeight="1">
      <c r="B337" s="9">
        <v>330</v>
      </c>
      <c r="C337" s="19" t="s">
        <v>733</v>
      </c>
      <c r="D337" s="18" t="s">
        <v>734</v>
      </c>
      <c r="E337" s="15" t="s">
        <v>735</v>
      </c>
      <c r="F337" s="12">
        <v>68</v>
      </c>
      <c r="G337" s="12" t="str">
        <f t="shared" si="294"/>
        <v>C</v>
      </c>
      <c r="H337" s="12">
        <v>61</v>
      </c>
      <c r="I337" s="12" t="str">
        <f t="shared" si="295"/>
        <v>C</v>
      </c>
      <c r="J337" s="12">
        <v>46</v>
      </c>
      <c r="K337" s="12" t="str">
        <f t="shared" si="296"/>
        <v>S</v>
      </c>
      <c r="L337" s="12">
        <v>46</v>
      </c>
      <c r="M337" s="12" t="str">
        <f t="shared" si="297"/>
        <v>S</v>
      </c>
      <c r="N337" s="12">
        <v>70</v>
      </c>
      <c r="O337" s="12" t="str">
        <f t="shared" si="298"/>
        <v>C</v>
      </c>
      <c r="P337" s="12">
        <v>59</v>
      </c>
      <c r="Q337" s="12" t="str">
        <f t="shared" si="299"/>
        <v>C</v>
      </c>
      <c r="R337" s="12">
        <f t="shared" si="300"/>
        <v>350</v>
      </c>
      <c r="S337" s="12" t="str">
        <f t="shared" si="301"/>
        <v>58%</v>
      </c>
      <c r="T337" s="12">
        <f t="shared" si="302"/>
        <v>0</v>
      </c>
      <c r="U337" s="12">
        <f t="shared" si="303"/>
        <v>4</v>
      </c>
      <c r="V337" s="12">
        <f t="shared" si="304"/>
        <v>2</v>
      </c>
      <c r="W337" s="12">
        <f t="shared" si="305"/>
        <v>0</v>
      </c>
      <c r="X337" s="12">
        <f t="shared" si="306"/>
        <v>0</v>
      </c>
      <c r="Y337" s="19"/>
      <c r="Z337" s="20" t="str">
        <f t="shared" si="307"/>
        <v>Ordinary Pass</v>
      </c>
      <c r="AA337" s="12"/>
      <c r="AB337" s="47"/>
    </row>
    <row r="338" spans="2:28" ht="27" customHeight="1">
      <c r="B338" s="9">
        <v>331</v>
      </c>
      <c r="C338" s="19" t="s">
        <v>736</v>
      </c>
      <c r="D338" s="18" t="s">
        <v>737</v>
      </c>
      <c r="E338" s="15" t="s">
        <v>738</v>
      </c>
      <c r="F338" s="12">
        <v>74</v>
      </c>
      <c r="G338" s="12" t="str">
        <f t="shared" si="294"/>
        <v>C</v>
      </c>
      <c r="H338" s="12">
        <v>70</v>
      </c>
      <c r="I338" s="12" t="str">
        <f t="shared" si="295"/>
        <v>C</v>
      </c>
      <c r="J338" s="12">
        <v>66</v>
      </c>
      <c r="K338" s="12" t="str">
        <f t="shared" si="296"/>
        <v>C</v>
      </c>
      <c r="L338" s="12">
        <v>49</v>
      </c>
      <c r="M338" s="12" t="str">
        <f t="shared" si="297"/>
        <v>S</v>
      </c>
      <c r="N338" s="12">
        <v>78</v>
      </c>
      <c r="O338" s="12" t="str">
        <f t="shared" si="298"/>
        <v>D</v>
      </c>
      <c r="P338" s="12">
        <v>62</v>
      </c>
      <c r="Q338" s="12" t="str">
        <f t="shared" si="299"/>
        <v>C</v>
      </c>
      <c r="R338" s="12">
        <f t="shared" si="300"/>
        <v>399</v>
      </c>
      <c r="S338" s="12" t="str">
        <f t="shared" si="301"/>
        <v>67%</v>
      </c>
      <c r="T338" s="12">
        <f t="shared" si="302"/>
        <v>1</v>
      </c>
      <c r="U338" s="12">
        <f t="shared" si="303"/>
        <v>4</v>
      </c>
      <c r="V338" s="12">
        <f t="shared" si="304"/>
        <v>1</v>
      </c>
      <c r="W338" s="12">
        <f t="shared" si="305"/>
        <v>0</v>
      </c>
      <c r="X338" s="12">
        <f t="shared" si="306"/>
        <v>0</v>
      </c>
      <c r="Y338" s="19"/>
      <c r="Z338" s="20" t="str">
        <f t="shared" si="307"/>
        <v>Ordinary Pass</v>
      </c>
      <c r="AA338" s="12"/>
      <c r="AB338" s="47"/>
    </row>
    <row r="339" spans="2:28" ht="27" customHeight="1">
      <c r="B339" s="9">
        <v>332</v>
      </c>
      <c r="C339" s="19" t="s">
        <v>739</v>
      </c>
      <c r="D339" s="18" t="s">
        <v>740</v>
      </c>
      <c r="E339" s="15" t="s">
        <v>741</v>
      </c>
      <c r="F339" s="12">
        <v>45</v>
      </c>
      <c r="G339" s="12" t="str">
        <f t="shared" si="294"/>
        <v>S</v>
      </c>
      <c r="H339" s="12">
        <v>61</v>
      </c>
      <c r="I339" s="12" t="str">
        <f t="shared" si="295"/>
        <v>C</v>
      </c>
      <c r="J339" s="12">
        <v>43</v>
      </c>
      <c r="K339" s="12" t="str">
        <f t="shared" si="296"/>
        <v>S</v>
      </c>
      <c r="L339" s="12">
        <v>43</v>
      </c>
      <c r="M339" s="12" t="str">
        <f t="shared" si="297"/>
        <v>S</v>
      </c>
      <c r="N339" s="12">
        <v>52</v>
      </c>
      <c r="O339" s="12" t="str">
        <f t="shared" si="298"/>
        <v>S</v>
      </c>
      <c r="P339" s="12">
        <v>45</v>
      </c>
      <c r="Q339" s="12" t="str">
        <f t="shared" si="299"/>
        <v>S</v>
      </c>
      <c r="R339" s="12">
        <f t="shared" si="300"/>
        <v>289</v>
      </c>
      <c r="S339" s="12" t="str">
        <f t="shared" si="301"/>
        <v>48%</v>
      </c>
      <c r="T339" s="12">
        <f t="shared" si="302"/>
        <v>0</v>
      </c>
      <c r="U339" s="12">
        <f t="shared" si="303"/>
        <v>1</v>
      </c>
      <c r="V339" s="12">
        <f t="shared" si="304"/>
        <v>4</v>
      </c>
      <c r="W339" s="12">
        <f t="shared" si="305"/>
        <v>0</v>
      </c>
      <c r="X339" s="12">
        <f t="shared" si="306"/>
        <v>0</v>
      </c>
      <c r="Y339" s="19"/>
      <c r="Z339" s="20" t="str">
        <f t="shared" si="307"/>
        <v>Ordinary Pass</v>
      </c>
      <c r="AA339" s="12"/>
      <c r="AB339" s="47"/>
    </row>
    <row r="340" spans="2:28" ht="27" customHeight="1">
      <c r="B340" s="9">
        <v>333</v>
      </c>
      <c r="C340" s="16" t="s">
        <v>742</v>
      </c>
      <c r="D340" s="17" t="s">
        <v>743</v>
      </c>
      <c r="E340" s="15" t="s">
        <v>744</v>
      </c>
      <c r="F340" s="1">
        <v>45</v>
      </c>
      <c r="G340" s="12" t="str">
        <f>IF(F340="-", "AB", IF(F340&gt;=75, "D", IF(F340&gt;=55, "C", IF(F340&gt;=35, "S", IF(F340&gt;=0, "F")))))</f>
        <v>S</v>
      </c>
      <c r="H340" s="12">
        <v>66</v>
      </c>
      <c r="I340" s="12" t="str">
        <f t="shared" si="295"/>
        <v>C</v>
      </c>
      <c r="J340" s="12">
        <v>59</v>
      </c>
      <c r="K340" s="12" t="str">
        <f t="shared" si="296"/>
        <v>C</v>
      </c>
      <c r="L340" s="12">
        <v>75</v>
      </c>
      <c r="M340" s="12" t="str">
        <f t="shared" si="297"/>
        <v>D</v>
      </c>
      <c r="N340" s="12">
        <v>39</v>
      </c>
      <c r="O340" s="12" t="str">
        <f t="shared" si="298"/>
        <v>S</v>
      </c>
      <c r="P340" s="12">
        <v>36</v>
      </c>
      <c r="Q340" s="12" t="str">
        <f t="shared" si="299"/>
        <v>S</v>
      </c>
      <c r="R340" s="12">
        <f>SUM(F340+H340+J340+L340+N340+P340)</f>
        <v>320</v>
      </c>
      <c r="S340" s="12" t="str">
        <f t="shared" si="301"/>
        <v>53%</v>
      </c>
      <c r="T340" s="12">
        <f t="shared" si="302"/>
        <v>1</v>
      </c>
      <c r="U340" s="12">
        <f t="shared" si="303"/>
        <v>2</v>
      </c>
      <c r="V340" s="12">
        <f t="shared" si="304"/>
        <v>2</v>
      </c>
      <c r="W340" s="12">
        <f t="shared" si="305"/>
        <v>0</v>
      </c>
      <c r="X340" s="12">
        <f t="shared" si="306"/>
        <v>0</v>
      </c>
      <c r="Y340" s="19"/>
      <c r="Z340" s="20" t="str">
        <f>IF(X340&gt;0, "Not Completed",
   IF(T340=10, "First Class",
      IF(S340&gt;75, IF(V340&gt;0, "Ordinary Pass", "First Class"),
         IF(S340&gt;65, IF(V340&gt;0, "Ordinary Pass", "Second Class"), "none")
      )
   )
)</f>
        <v>Ordinary Pass</v>
      </c>
      <c r="AA340" s="12"/>
      <c r="AB340" s="47"/>
    </row>
    <row r="341" spans="2:28" ht="27" customHeight="1">
      <c r="B341" s="9">
        <v>334</v>
      </c>
      <c r="C341" s="41" t="s">
        <v>745</v>
      </c>
      <c r="D341" s="18" t="s">
        <v>746</v>
      </c>
      <c r="E341" s="15" t="s">
        <v>747</v>
      </c>
      <c r="F341" s="12">
        <v>56</v>
      </c>
      <c r="G341" s="12" t="str">
        <f t="shared" ref="G341:G347" si="308">IF(F341="-", "AB", IF(F341&gt;=75, "D", IF(F341&gt;=55, "C", IF(F341&gt;=35, "S", IF(F341&gt;=0, "F")))))</f>
        <v>C</v>
      </c>
      <c r="H341" s="12">
        <v>74</v>
      </c>
      <c r="I341" s="12" t="str">
        <f t="shared" si="295"/>
        <v>C</v>
      </c>
      <c r="J341" s="12">
        <v>69</v>
      </c>
      <c r="K341" s="12" t="str">
        <f t="shared" si="296"/>
        <v>C</v>
      </c>
      <c r="L341" s="12">
        <v>65</v>
      </c>
      <c r="M341" s="12" t="str">
        <f t="shared" si="297"/>
        <v>C</v>
      </c>
      <c r="N341" s="12">
        <v>46</v>
      </c>
      <c r="O341" s="12" t="str">
        <f t="shared" si="298"/>
        <v>S</v>
      </c>
      <c r="P341" s="12">
        <v>51</v>
      </c>
      <c r="Q341" s="12" t="str">
        <f t="shared" si="299"/>
        <v>S</v>
      </c>
      <c r="R341" s="12">
        <f t="shared" ref="R341:R347" si="309">SUM(F341+H341+J341+L341+N341+P341)</f>
        <v>361</v>
      </c>
      <c r="S341" s="12" t="str">
        <f t="shared" si="301"/>
        <v>60%</v>
      </c>
      <c r="T341" s="12">
        <f t="shared" si="302"/>
        <v>0</v>
      </c>
      <c r="U341" s="12">
        <f t="shared" si="303"/>
        <v>4</v>
      </c>
      <c r="V341" s="12">
        <f t="shared" si="304"/>
        <v>2</v>
      </c>
      <c r="W341" s="12">
        <f t="shared" si="305"/>
        <v>0</v>
      </c>
      <c r="X341" s="12">
        <f t="shared" si="306"/>
        <v>0</v>
      </c>
      <c r="Y341" s="19"/>
      <c r="Z341" s="20" t="str">
        <f t="shared" ref="Z341:Z346" si="310">IF(X341&gt;0, "Not Completed",
   IF(T341=10, "First Class",
      IF(S341&gt;75, IF(V341&gt;0, "Ordinary Pass", "First Class"),
         IF(S341&gt;65, IF(V341&gt;0, "Ordinary Pass", "Second Class"), "none")
      )
   )
)</f>
        <v>Ordinary Pass</v>
      </c>
      <c r="AA341" s="12"/>
      <c r="AB341" s="47"/>
    </row>
    <row r="342" spans="2:28" ht="27" customHeight="1">
      <c r="B342" s="9">
        <v>335</v>
      </c>
      <c r="C342" s="16" t="s">
        <v>748</v>
      </c>
      <c r="D342" s="12" t="s">
        <v>749</v>
      </c>
      <c r="E342" s="15" t="s">
        <v>750</v>
      </c>
      <c r="F342" s="12">
        <v>68</v>
      </c>
      <c r="G342" s="12" t="str">
        <f t="shared" si="308"/>
        <v>C</v>
      </c>
      <c r="H342" s="12">
        <v>79</v>
      </c>
      <c r="I342" s="12" t="str">
        <f t="shared" si="295"/>
        <v>D</v>
      </c>
      <c r="J342" s="12">
        <v>60</v>
      </c>
      <c r="K342" s="12" t="str">
        <f t="shared" si="296"/>
        <v>C</v>
      </c>
      <c r="L342" s="12">
        <v>51</v>
      </c>
      <c r="M342" s="12" t="str">
        <f t="shared" si="297"/>
        <v>S</v>
      </c>
      <c r="N342" s="12">
        <v>58</v>
      </c>
      <c r="O342" s="12" t="str">
        <f t="shared" si="298"/>
        <v>C</v>
      </c>
      <c r="P342" s="12">
        <v>47</v>
      </c>
      <c r="Q342" s="12" t="str">
        <f t="shared" si="299"/>
        <v>S</v>
      </c>
      <c r="R342" s="12">
        <f t="shared" si="309"/>
        <v>363</v>
      </c>
      <c r="S342" s="12" t="str">
        <f t="shared" si="301"/>
        <v>61%</v>
      </c>
      <c r="T342" s="12">
        <f t="shared" si="302"/>
        <v>1</v>
      </c>
      <c r="U342" s="12">
        <f t="shared" si="303"/>
        <v>3</v>
      </c>
      <c r="V342" s="12">
        <f t="shared" si="304"/>
        <v>2</v>
      </c>
      <c r="W342" s="12">
        <f t="shared" si="305"/>
        <v>0</v>
      </c>
      <c r="X342" s="12">
        <f t="shared" si="306"/>
        <v>0</v>
      </c>
      <c r="Y342" s="19"/>
      <c r="Z342" s="20" t="str">
        <f t="shared" si="310"/>
        <v>Ordinary Pass</v>
      </c>
      <c r="AA342" s="12"/>
      <c r="AB342" s="47"/>
    </row>
    <row r="343" spans="2:28" ht="27" customHeight="1">
      <c r="B343" s="9">
        <v>336</v>
      </c>
      <c r="C343" s="16" t="s">
        <v>751</v>
      </c>
      <c r="D343" s="18">
        <v>198426600564</v>
      </c>
      <c r="E343" s="15" t="s">
        <v>752</v>
      </c>
      <c r="F343" s="12">
        <v>45</v>
      </c>
      <c r="G343" s="12" t="str">
        <f t="shared" si="308"/>
        <v>S</v>
      </c>
      <c r="H343" s="12">
        <v>61</v>
      </c>
      <c r="I343" s="12" t="str">
        <f t="shared" si="295"/>
        <v>C</v>
      </c>
      <c r="J343" s="12">
        <v>56</v>
      </c>
      <c r="K343" s="12" t="str">
        <f t="shared" si="296"/>
        <v>C</v>
      </c>
      <c r="L343" s="12">
        <v>39</v>
      </c>
      <c r="M343" s="12" t="str">
        <f t="shared" si="297"/>
        <v>S</v>
      </c>
      <c r="N343" s="12">
        <v>40</v>
      </c>
      <c r="O343" s="12" t="str">
        <f t="shared" si="298"/>
        <v>S</v>
      </c>
      <c r="P343" s="12">
        <v>42</v>
      </c>
      <c r="Q343" s="12" t="str">
        <f t="shared" si="299"/>
        <v>S</v>
      </c>
      <c r="R343" s="12">
        <f t="shared" si="309"/>
        <v>283</v>
      </c>
      <c r="S343" s="12" t="str">
        <f t="shared" si="301"/>
        <v>47%</v>
      </c>
      <c r="T343" s="12">
        <f t="shared" si="302"/>
        <v>0</v>
      </c>
      <c r="U343" s="12">
        <f t="shared" si="303"/>
        <v>2</v>
      </c>
      <c r="V343" s="12">
        <f t="shared" si="304"/>
        <v>3</v>
      </c>
      <c r="W343" s="12">
        <f t="shared" si="305"/>
        <v>0</v>
      </c>
      <c r="X343" s="12">
        <f t="shared" si="306"/>
        <v>0</v>
      </c>
      <c r="Y343" s="19"/>
      <c r="Z343" s="20" t="str">
        <f t="shared" si="310"/>
        <v>Ordinary Pass</v>
      </c>
      <c r="AA343" s="12"/>
      <c r="AB343" s="47"/>
    </row>
    <row r="344" spans="2:28" ht="27" customHeight="1">
      <c r="B344" s="9">
        <v>337</v>
      </c>
      <c r="C344" s="16" t="s">
        <v>753</v>
      </c>
      <c r="D344" s="18">
        <v>200158001382</v>
      </c>
      <c r="E344" s="15" t="s">
        <v>754</v>
      </c>
      <c r="F344" s="12" t="s">
        <v>14</v>
      </c>
      <c r="G344" s="12" t="str">
        <f t="shared" si="308"/>
        <v>AB</v>
      </c>
      <c r="H344" s="12" t="s">
        <v>14</v>
      </c>
      <c r="I344" s="12" t="str">
        <f t="shared" si="295"/>
        <v>AB</v>
      </c>
      <c r="J344" s="12" t="s">
        <v>14</v>
      </c>
      <c r="K344" s="12" t="str">
        <f t="shared" si="296"/>
        <v>AB</v>
      </c>
      <c r="L344" s="12" t="s">
        <v>14</v>
      </c>
      <c r="M344" s="12" t="str">
        <f t="shared" si="297"/>
        <v>AB</v>
      </c>
      <c r="N344" s="12" t="s">
        <v>14</v>
      </c>
      <c r="O344" s="12" t="str">
        <f t="shared" si="298"/>
        <v>AB</v>
      </c>
      <c r="P344" s="12" t="s">
        <v>14</v>
      </c>
      <c r="Q344" s="12" t="str">
        <f t="shared" si="299"/>
        <v>AB</v>
      </c>
      <c r="R344" s="12">
        <v>0</v>
      </c>
      <c r="S344" s="12" t="str">
        <f t="shared" si="301"/>
        <v>0%</v>
      </c>
      <c r="T344" s="12">
        <f t="shared" si="302"/>
        <v>0</v>
      </c>
      <c r="U344" s="12">
        <f t="shared" si="303"/>
        <v>0</v>
      </c>
      <c r="V344" s="12">
        <f t="shared" si="304"/>
        <v>0</v>
      </c>
      <c r="W344" s="12">
        <f t="shared" si="305"/>
        <v>0</v>
      </c>
      <c r="X344" s="12">
        <f t="shared" si="306"/>
        <v>6</v>
      </c>
      <c r="Y344" s="19"/>
      <c r="Z344" s="20" t="s">
        <v>7</v>
      </c>
      <c r="AA344" s="12"/>
      <c r="AB344" s="47"/>
    </row>
    <row r="345" spans="2:28" ht="27" customHeight="1">
      <c r="B345" s="9">
        <v>338</v>
      </c>
      <c r="C345" s="42" t="s">
        <v>755</v>
      </c>
      <c r="D345" s="18" t="s">
        <v>756</v>
      </c>
      <c r="E345" s="15" t="s">
        <v>757</v>
      </c>
      <c r="F345" s="12" t="s">
        <v>14</v>
      </c>
      <c r="G345" s="12" t="str">
        <f t="shared" si="308"/>
        <v>AB</v>
      </c>
      <c r="H345" s="12" t="s">
        <v>14</v>
      </c>
      <c r="I345" s="12" t="str">
        <f t="shared" si="295"/>
        <v>AB</v>
      </c>
      <c r="J345" s="12" t="s">
        <v>14</v>
      </c>
      <c r="K345" s="12" t="str">
        <f t="shared" si="296"/>
        <v>AB</v>
      </c>
      <c r="L345" s="12" t="s">
        <v>14</v>
      </c>
      <c r="M345" s="12" t="str">
        <f t="shared" si="297"/>
        <v>AB</v>
      </c>
      <c r="N345" s="12" t="s">
        <v>14</v>
      </c>
      <c r="O345" s="12" t="str">
        <f t="shared" si="298"/>
        <v>AB</v>
      </c>
      <c r="P345" s="12" t="s">
        <v>14</v>
      </c>
      <c r="Q345" s="12" t="str">
        <f t="shared" si="299"/>
        <v>AB</v>
      </c>
      <c r="R345" s="12">
        <v>0</v>
      </c>
      <c r="S345" s="12" t="str">
        <f t="shared" si="301"/>
        <v>0%</v>
      </c>
      <c r="T345" s="12">
        <f t="shared" si="302"/>
        <v>0</v>
      </c>
      <c r="U345" s="12">
        <f t="shared" si="303"/>
        <v>0</v>
      </c>
      <c r="V345" s="12">
        <f t="shared" si="304"/>
        <v>0</v>
      </c>
      <c r="W345" s="12">
        <f t="shared" si="305"/>
        <v>0</v>
      </c>
      <c r="X345" s="12">
        <f t="shared" si="306"/>
        <v>6</v>
      </c>
      <c r="Y345" s="19"/>
      <c r="Z345" s="20" t="s">
        <v>7</v>
      </c>
      <c r="AA345" s="12"/>
      <c r="AB345" s="47"/>
    </row>
    <row r="346" spans="2:28" ht="27" customHeight="1">
      <c r="B346" s="9">
        <v>339</v>
      </c>
      <c r="C346" s="16" t="s">
        <v>758</v>
      </c>
      <c r="D346" s="18" t="s">
        <v>759</v>
      </c>
      <c r="E346" s="15" t="s">
        <v>760</v>
      </c>
      <c r="F346" s="12">
        <v>54</v>
      </c>
      <c r="G346" s="12" t="str">
        <f t="shared" si="308"/>
        <v>S</v>
      </c>
      <c r="H346" s="12">
        <v>65</v>
      </c>
      <c r="I346" s="12" t="str">
        <f t="shared" si="295"/>
        <v>C</v>
      </c>
      <c r="J346" s="12">
        <v>65</v>
      </c>
      <c r="K346" s="12" t="str">
        <f t="shared" si="296"/>
        <v>C</v>
      </c>
      <c r="L346" s="12">
        <v>52</v>
      </c>
      <c r="M346" s="12" t="str">
        <f t="shared" si="297"/>
        <v>S</v>
      </c>
      <c r="N346" s="12">
        <v>42</v>
      </c>
      <c r="O346" s="12" t="str">
        <f t="shared" si="298"/>
        <v>S</v>
      </c>
      <c r="P346" s="12">
        <v>48</v>
      </c>
      <c r="Q346" s="12" t="str">
        <f t="shared" si="299"/>
        <v>S</v>
      </c>
      <c r="R346" s="12">
        <f t="shared" si="309"/>
        <v>326</v>
      </c>
      <c r="S346" s="12" t="str">
        <f t="shared" si="301"/>
        <v>54%</v>
      </c>
      <c r="T346" s="12">
        <f t="shared" si="302"/>
        <v>0</v>
      </c>
      <c r="U346" s="12">
        <f t="shared" si="303"/>
        <v>2</v>
      </c>
      <c r="V346" s="12">
        <f t="shared" si="304"/>
        <v>3</v>
      </c>
      <c r="W346" s="12">
        <f t="shared" si="305"/>
        <v>0</v>
      </c>
      <c r="X346" s="12">
        <f t="shared" si="306"/>
        <v>0</v>
      </c>
      <c r="Y346" s="19"/>
      <c r="Z346" s="20" t="str">
        <f t="shared" si="310"/>
        <v>Ordinary Pass</v>
      </c>
      <c r="AA346" s="12"/>
      <c r="AB346" s="47"/>
    </row>
    <row r="347" spans="2:28" ht="27" customHeight="1">
      <c r="B347" s="9">
        <v>340</v>
      </c>
      <c r="C347" s="16" t="s">
        <v>761</v>
      </c>
      <c r="D347" s="18" t="s">
        <v>762</v>
      </c>
      <c r="E347" s="15" t="s">
        <v>763</v>
      </c>
      <c r="F347" s="12">
        <v>64</v>
      </c>
      <c r="G347" s="12" t="str">
        <f t="shared" si="308"/>
        <v>C</v>
      </c>
      <c r="H347" s="12">
        <v>67</v>
      </c>
      <c r="I347" s="12" t="str">
        <f t="shared" si="295"/>
        <v>C</v>
      </c>
      <c r="J347" s="12">
        <v>73</v>
      </c>
      <c r="K347" s="12" t="str">
        <f t="shared" si="296"/>
        <v>C</v>
      </c>
      <c r="L347" s="12">
        <v>65</v>
      </c>
      <c r="M347" s="12" t="str">
        <f t="shared" si="297"/>
        <v>C</v>
      </c>
      <c r="N347" s="12">
        <v>55</v>
      </c>
      <c r="O347" s="12" t="str">
        <f t="shared" si="298"/>
        <v>C</v>
      </c>
      <c r="P347" s="12">
        <v>71</v>
      </c>
      <c r="Q347" s="12" t="str">
        <f t="shared" si="299"/>
        <v>C</v>
      </c>
      <c r="R347" s="12">
        <f t="shared" si="309"/>
        <v>395</v>
      </c>
      <c r="S347" s="12" t="str">
        <f t="shared" si="301"/>
        <v>66%</v>
      </c>
      <c r="T347" s="12">
        <f t="shared" si="302"/>
        <v>0</v>
      </c>
      <c r="U347" s="12">
        <f t="shared" si="303"/>
        <v>6</v>
      </c>
      <c r="V347" s="12">
        <f t="shared" si="304"/>
        <v>0</v>
      </c>
      <c r="W347" s="12">
        <f t="shared" si="305"/>
        <v>0</v>
      </c>
      <c r="X347" s="12">
        <f t="shared" si="306"/>
        <v>0</v>
      </c>
      <c r="Y347" s="19"/>
      <c r="Z347" s="20" t="s">
        <v>10</v>
      </c>
      <c r="AA347" s="12"/>
      <c r="AB347" s="47"/>
    </row>
    <row r="348" spans="2:28" ht="27" customHeight="1">
      <c r="B348" s="9">
        <v>341</v>
      </c>
      <c r="C348" s="16" t="s">
        <v>764</v>
      </c>
      <c r="D348" s="18">
        <v>199754103551</v>
      </c>
      <c r="E348" s="15" t="s">
        <v>765</v>
      </c>
      <c r="F348" s="12">
        <v>62</v>
      </c>
      <c r="G348" s="12" t="str">
        <f t="shared" ref="G348:G353" si="311">IF(F348="-", "AB", IF(F348&gt;=75, "D", IF(F348&gt;=55, "C", IF(F348&gt;=35, "S", IF(F348&gt;=0, "F")))))</f>
        <v>C</v>
      </c>
      <c r="H348" s="12">
        <v>64</v>
      </c>
      <c r="I348" s="12" t="str">
        <f t="shared" ref="I348:I367" si="312">IF(H348="-", "AB", IF(H348&gt;=75, "D", IF(H348&gt;=55, "C", IF(H348&gt;=35, "S", IF(H348&gt;=0, "F")))))</f>
        <v>C</v>
      </c>
      <c r="J348" s="12">
        <v>78</v>
      </c>
      <c r="K348" s="12" t="str">
        <f t="shared" ref="K348:K367" si="313">IF(J348="-", "AB", IF(J348&gt;=75, "D", IF(J348&gt;=55, "C", IF(J348&gt;=35, "S", IF(J348&gt;=0, "F")))))</f>
        <v>D</v>
      </c>
      <c r="L348" s="12">
        <v>47</v>
      </c>
      <c r="M348" s="12" t="str">
        <f t="shared" ref="M348:M367" si="314">IF(L348="-", "AB", IF(L348&gt;=75, "D", IF(L348&gt;=55, "C", IF(L348&gt;=35, "S", IF(L348&gt;=0, "F")))))</f>
        <v>S</v>
      </c>
      <c r="N348" s="12">
        <v>44</v>
      </c>
      <c r="O348" s="12" t="str">
        <f t="shared" ref="O348:O367" si="315">IF(N348="-", "AB", IF(N348&gt;=75, "D", IF(N348&gt;=55, "C", IF(N348&gt;=35, "S", IF(N348&gt;=0, "F")))))</f>
        <v>S</v>
      </c>
      <c r="P348" s="12">
        <v>60</v>
      </c>
      <c r="Q348" s="12" t="str">
        <f t="shared" ref="Q348:Q367" si="316">IF(P348="-", "AB", IF(P348&gt;=75, "D", IF(P348&gt;=55, "C", IF(P348&gt;=35, "S", IF(P348&gt;=0, "F")))))</f>
        <v>C</v>
      </c>
      <c r="R348" s="12">
        <f t="shared" ref="R348:R353" si="317">SUM(F348+H348+J348+L348+N348+P348)</f>
        <v>355</v>
      </c>
      <c r="S348" s="12" t="str">
        <f t="shared" ref="S348:S362" si="318">ROUND(R348/6, 0)&amp;"%"</f>
        <v>59%</v>
      </c>
      <c r="T348" s="12">
        <f t="shared" ref="T348:T367" si="319">COUNTIF(F348:Q348, "D")</f>
        <v>1</v>
      </c>
      <c r="U348" s="12">
        <f t="shared" ref="U348:U367" si="320">COUNTIF(G348:T348, "C")</f>
        <v>3</v>
      </c>
      <c r="V348" s="12">
        <f t="shared" ref="V348:V367" si="321">COUNTIF(H348:U348, "S")</f>
        <v>2</v>
      </c>
      <c r="W348" s="12">
        <f t="shared" ref="W348:W367" si="322">COUNTIF(I348:V348, "F")</f>
        <v>0</v>
      </c>
      <c r="X348" s="12">
        <f t="shared" ref="X348:X367" si="323">COUNTIF(F348:W348, "-")</f>
        <v>0</v>
      </c>
      <c r="Y348" s="19"/>
      <c r="Z348" s="20" t="str">
        <f t="shared" ref="Z348:Z353" si="324">IF(X348&gt;0, "Not Completed",
   IF(T348=10, "First Class",
      IF(S348&gt;75, IF(V348&gt;0, "Ordinary Pass", "First Class"),
         IF(S348&gt;65, IF(V348&gt;0, "Ordinary Pass", "Second Class"), "none")
      )
   )
)</f>
        <v>Ordinary Pass</v>
      </c>
      <c r="AA348" s="12"/>
      <c r="AB348" s="47"/>
    </row>
    <row r="349" spans="2:28" ht="27" customHeight="1">
      <c r="B349" s="9">
        <v>342</v>
      </c>
      <c r="C349" s="16" t="s">
        <v>766</v>
      </c>
      <c r="D349" s="18">
        <v>200473904096</v>
      </c>
      <c r="E349" s="15" t="s">
        <v>767</v>
      </c>
      <c r="F349" s="12">
        <v>67</v>
      </c>
      <c r="G349" s="12" t="str">
        <f t="shared" si="311"/>
        <v>C</v>
      </c>
      <c r="H349" s="12">
        <v>86</v>
      </c>
      <c r="I349" s="12" t="str">
        <f t="shared" si="312"/>
        <v>D</v>
      </c>
      <c r="J349" s="12">
        <v>83</v>
      </c>
      <c r="K349" s="12" t="str">
        <f t="shared" si="313"/>
        <v>D</v>
      </c>
      <c r="L349" s="12">
        <v>58</v>
      </c>
      <c r="M349" s="12" t="str">
        <f t="shared" si="314"/>
        <v>C</v>
      </c>
      <c r="N349" s="12">
        <v>72</v>
      </c>
      <c r="O349" s="12" t="str">
        <f t="shared" si="315"/>
        <v>C</v>
      </c>
      <c r="P349" s="12">
        <v>77</v>
      </c>
      <c r="Q349" s="12" t="str">
        <f t="shared" si="316"/>
        <v>D</v>
      </c>
      <c r="R349" s="12">
        <f t="shared" si="317"/>
        <v>443</v>
      </c>
      <c r="S349" s="12" t="str">
        <f t="shared" si="318"/>
        <v>74%</v>
      </c>
      <c r="T349" s="12">
        <f t="shared" si="319"/>
        <v>3</v>
      </c>
      <c r="U349" s="12">
        <f t="shared" si="320"/>
        <v>3</v>
      </c>
      <c r="V349" s="12">
        <f t="shared" si="321"/>
        <v>0</v>
      </c>
      <c r="W349" s="12">
        <f t="shared" si="322"/>
        <v>0</v>
      </c>
      <c r="X349" s="12">
        <f t="shared" si="323"/>
        <v>0</v>
      </c>
      <c r="Y349" s="19"/>
      <c r="Z349" s="20" t="s">
        <v>10</v>
      </c>
      <c r="AA349" s="12"/>
      <c r="AB349" s="47"/>
    </row>
    <row r="350" spans="2:28" ht="27" customHeight="1">
      <c r="B350" s="9">
        <v>343</v>
      </c>
      <c r="C350" s="16" t="s">
        <v>768</v>
      </c>
      <c r="D350" s="18" t="s">
        <v>769</v>
      </c>
      <c r="E350" s="15" t="s">
        <v>770</v>
      </c>
      <c r="F350" s="12">
        <v>63</v>
      </c>
      <c r="G350" s="12" t="str">
        <f t="shared" si="311"/>
        <v>C</v>
      </c>
      <c r="H350" s="12">
        <v>73</v>
      </c>
      <c r="I350" s="12" t="str">
        <f t="shared" si="312"/>
        <v>C</v>
      </c>
      <c r="J350" s="12">
        <v>78</v>
      </c>
      <c r="K350" s="12" t="str">
        <f t="shared" si="313"/>
        <v>D</v>
      </c>
      <c r="L350" s="12">
        <v>61</v>
      </c>
      <c r="M350" s="12" t="str">
        <f t="shared" si="314"/>
        <v>C</v>
      </c>
      <c r="N350" s="12">
        <v>73</v>
      </c>
      <c r="O350" s="12" t="str">
        <f t="shared" si="315"/>
        <v>C</v>
      </c>
      <c r="P350" s="12">
        <v>67</v>
      </c>
      <c r="Q350" s="12" t="str">
        <f t="shared" si="316"/>
        <v>C</v>
      </c>
      <c r="R350" s="12">
        <f t="shared" si="317"/>
        <v>415</v>
      </c>
      <c r="S350" s="12" t="str">
        <f t="shared" si="318"/>
        <v>69%</v>
      </c>
      <c r="T350" s="12">
        <f t="shared" si="319"/>
        <v>1</v>
      </c>
      <c r="U350" s="12">
        <f t="shared" si="320"/>
        <v>5</v>
      </c>
      <c r="V350" s="12">
        <f t="shared" si="321"/>
        <v>0</v>
      </c>
      <c r="W350" s="12">
        <f t="shared" si="322"/>
        <v>0</v>
      </c>
      <c r="X350" s="12">
        <f t="shared" si="323"/>
        <v>0</v>
      </c>
      <c r="Y350" s="19"/>
      <c r="Z350" s="20" t="s">
        <v>10</v>
      </c>
      <c r="AA350" s="12"/>
      <c r="AB350" s="47"/>
    </row>
    <row r="351" spans="2:28" ht="27" customHeight="1">
      <c r="B351" s="9">
        <v>344</v>
      </c>
      <c r="C351" s="16" t="s">
        <v>771</v>
      </c>
      <c r="D351" s="18">
        <v>197968102273</v>
      </c>
      <c r="E351" s="15" t="s">
        <v>772</v>
      </c>
      <c r="F351" s="12">
        <v>41</v>
      </c>
      <c r="G351" s="12" t="str">
        <f t="shared" si="311"/>
        <v>S</v>
      </c>
      <c r="H351" s="12">
        <v>67</v>
      </c>
      <c r="I351" s="12" t="str">
        <f t="shared" si="312"/>
        <v>C</v>
      </c>
      <c r="J351" s="12">
        <v>46</v>
      </c>
      <c r="K351" s="12" t="str">
        <f t="shared" si="313"/>
        <v>S</v>
      </c>
      <c r="L351" s="12">
        <v>54</v>
      </c>
      <c r="M351" s="12" t="str">
        <f t="shared" si="314"/>
        <v>S</v>
      </c>
      <c r="N351" s="12">
        <v>42</v>
      </c>
      <c r="O351" s="12" t="str">
        <f t="shared" si="315"/>
        <v>S</v>
      </c>
      <c r="P351" s="12">
        <v>57</v>
      </c>
      <c r="Q351" s="12" t="str">
        <f t="shared" si="316"/>
        <v>C</v>
      </c>
      <c r="R351" s="12">
        <f t="shared" si="317"/>
        <v>307</v>
      </c>
      <c r="S351" s="12" t="str">
        <f t="shared" si="318"/>
        <v>51%</v>
      </c>
      <c r="T351" s="12">
        <f t="shared" si="319"/>
        <v>0</v>
      </c>
      <c r="U351" s="12">
        <f t="shared" si="320"/>
        <v>2</v>
      </c>
      <c r="V351" s="12">
        <f t="shared" si="321"/>
        <v>3</v>
      </c>
      <c r="W351" s="12">
        <f t="shared" si="322"/>
        <v>0</v>
      </c>
      <c r="X351" s="12">
        <f t="shared" si="323"/>
        <v>0</v>
      </c>
      <c r="Y351" s="19"/>
      <c r="Z351" s="20" t="str">
        <f t="shared" si="324"/>
        <v>Ordinary Pass</v>
      </c>
      <c r="AA351" s="12"/>
      <c r="AB351" s="47"/>
    </row>
    <row r="352" spans="2:28" ht="27" customHeight="1">
      <c r="B352" s="9">
        <v>345</v>
      </c>
      <c r="C352" s="41" t="s">
        <v>773</v>
      </c>
      <c r="D352" s="18" t="s">
        <v>774</v>
      </c>
      <c r="E352" s="15" t="s">
        <v>775</v>
      </c>
      <c r="F352" s="12">
        <v>44</v>
      </c>
      <c r="G352" s="12" t="str">
        <f t="shared" si="311"/>
        <v>S</v>
      </c>
      <c r="H352" s="12">
        <v>60</v>
      </c>
      <c r="I352" s="12" t="str">
        <f t="shared" si="312"/>
        <v>C</v>
      </c>
      <c r="J352" s="12">
        <v>65</v>
      </c>
      <c r="K352" s="12" t="str">
        <f t="shared" si="313"/>
        <v>C</v>
      </c>
      <c r="L352" s="12">
        <v>47</v>
      </c>
      <c r="M352" s="12" t="str">
        <f t="shared" si="314"/>
        <v>S</v>
      </c>
      <c r="N352" s="12">
        <v>51</v>
      </c>
      <c r="O352" s="12" t="str">
        <f t="shared" si="315"/>
        <v>S</v>
      </c>
      <c r="P352" s="12">
        <v>57</v>
      </c>
      <c r="Q352" s="12" t="str">
        <f t="shared" si="316"/>
        <v>C</v>
      </c>
      <c r="R352" s="12">
        <f t="shared" si="317"/>
        <v>324</v>
      </c>
      <c r="S352" s="12" t="str">
        <f t="shared" si="318"/>
        <v>54%</v>
      </c>
      <c r="T352" s="12">
        <f t="shared" si="319"/>
        <v>0</v>
      </c>
      <c r="U352" s="12">
        <f t="shared" si="320"/>
        <v>3</v>
      </c>
      <c r="V352" s="12">
        <f t="shared" si="321"/>
        <v>2</v>
      </c>
      <c r="W352" s="12">
        <f t="shared" si="322"/>
        <v>0</v>
      </c>
      <c r="X352" s="12">
        <f t="shared" si="323"/>
        <v>0</v>
      </c>
      <c r="Y352" s="19"/>
      <c r="Z352" s="20" t="str">
        <f t="shared" si="324"/>
        <v>Ordinary Pass</v>
      </c>
      <c r="AA352" s="12"/>
      <c r="AB352" s="47"/>
    </row>
    <row r="353" spans="2:28" ht="27" customHeight="1">
      <c r="B353" s="9">
        <v>346</v>
      </c>
      <c r="C353" s="16" t="s">
        <v>776</v>
      </c>
      <c r="D353" s="18">
        <v>200381510896</v>
      </c>
      <c r="E353" s="15" t="s">
        <v>777</v>
      </c>
      <c r="F353" s="12">
        <v>49</v>
      </c>
      <c r="G353" s="12" t="str">
        <f t="shared" si="311"/>
        <v>S</v>
      </c>
      <c r="H353" s="12">
        <v>60</v>
      </c>
      <c r="I353" s="12" t="str">
        <f t="shared" si="312"/>
        <v>C</v>
      </c>
      <c r="J353" s="12">
        <v>51</v>
      </c>
      <c r="K353" s="12" t="str">
        <f t="shared" si="313"/>
        <v>S</v>
      </c>
      <c r="L353" s="12">
        <v>45</v>
      </c>
      <c r="M353" s="12" t="str">
        <f t="shared" si="314"/>
        <v>S</v>
      </c>
      <c r="N353" s="12">
        <v>41</v>
      </c>
      <c r="O353" s="12" t="str">
        <f t="shared" si="315"/>
        <v>S</v>
      </c>
      <c r="P353" s="12">
        <v>48</v>
      </c>
      <c r="Q353" s="12" t="str">
        <f t="shared" si="316"/>
        <v>S</v>
      </c>
      <c r="R353" s="12">
        <f t="shared" si="317"/>
        <v>294</v>
      </c>
      <c r="S353" s="12" t="str">
        <f t="shared" si="318"/>
        <v>49%</v>
      </c>
      <c r="T353" s="12">
        <f t="shared" si="319"/>
        <v>0</v>
      </c>
      <c r="U353" s="12">
        <f t="shared" si="320"/>
        <v>1</v>
      </c>
      <c r="V353" s="12">
        <f t="shared" si="321"/>
        <v>4</v>
      </c>
      <c r="W353" s="12">
        <f t="shared" si="322"/>
        <v>0</v>
      </c>
      <c r="X353" s="12">
        <f t="shared" si="323"/>
        <v>0</v>
      </c>
      <c r="Y353" s="19"/>
      <c r="Z353" s="20" t="str">
        <f t="shared" si="324"/>
        <v>Ordinary Pass</v>
      </c>
      <c r="AA353" s="12"/>
      <c r="AB353" s="47"/>
    </row>
    <row r="354" spans="2:28" ht="27" customHeight="1">
      <c r="B354" s="9">
        <v>347</v>
      </c>
      <c r="C354" s="16" t="s">
        <v>778</v>
      </c>
      <c r="D354" s="39" t="s">
        <v>779</v>
      </c>
      <c r="E354" s="15" t="s">
        <v>780</v>
      </c>
      <c r="F354" s="1">
        <v>62</v>
      </c>
      <c r="G354" s="12" t="str">
        <f>IF(F354="-", "AB", IF(F354&gt;=75, "D", IF(F354&gt;=55, "C", IF(F354&gt;=35, "S", IF(F354&gt;=0, "F")))))</f>
        <v>C</v>
      </c>
      <c r="H354" s="12">
        <v>68</v>
      </c>
      <c r="I354" s="12" t="str">
        <f t="shared" si="312"/>
        <v>C</v>
      </c>
      <c r="J354" s="12">
        <v>75</v>
      </c>
      <c r="K354" s="12" t="str">
        <f t="shared" si="313"/>
        <v>D</v>
      </c>
      <c r="L354" s="12">
        <v>63</v>
      </c>
      <c r="M354" s="12" t="str">
        <f t="shared" si="314"/>
        <v>C</v>
      </c>
      <c r="N354" s="12">
        <v>70</v>
      </c>
      <c r="O354" s="12" t="str">
        <f t="shared" si="315"/>
        <v>C</v>
      </c>
      <c r="P354" s="12">
        <v>70</v>
      </c>
      <c r="Q354" s="12" t="str">
        <f t="shared" si="316"/>
        <v>C</v>
      </c>
      <c r="R354" s="12">
        <f>SUM(F354+H354+J354+L354+N354+P354)</f>
        <v>408</v>
      </c>
      <c r="S354" s="12" t="str">
        <f t="shared" si="318"/>
        <v>68%</v>
      </c>
      <c r="T354" s="12">
        <f t="shared" si="319"/>
        <v>1</v>
      </c>
      <c r="U354" s="12">
        <f t="shared" si="320"/>
        <v>5</v>
      </c>
      <c r="V354" s="12">
        <f t="shared" si="321"/>
        <v>0</v>
      </c>
      <c r="W354" s="12">
        <f t="shared" si="322"/>
        <v>0</v>
      </c>
      <c r="X354" s="12">
        <f t="shared" si="323"/>
        <v>0</v>
      </c>
      <c r="Y354" s="19"/>
      <c r="Z354" s="20" t="s">
        <v>10</v>
      </c>
      <c r="AA354" s="12"/>
      <c r="AB354" s="47"/>
    </row>
    <row r="355" spans="2:28" ht="27" customHeight="1">
      <c r="B355" s="9">
        <v>348</v>
      </c>
      <c r="C355" s="16" t="s">
        <v>781</v>
      </c>
      <c r="D355" s="40" t="s">
        <v>782</v>
      </c>
      <c r="E355" s="15" t="s">
        <v>783</v>
      </c>
      <c r="F355" s="12">
        <v>64</v>
      </c>
      <c r="G355" s="12" t="str">
        <f t="shared" ref="G355:G362" si="325">IF(F355="-", "AB", IF(F355&gt;=75, "D", IF(F355&gt;=55, "C", IF(F355&gt;=35, "S", IF(F355&gt;=0, "F")))))</f>
        <v>C</v>
      </c>
      <c r="H355" s="12">
        <v>61</v>
      </c>
      <c r="I355" s="12" t="str">
        <f t="shared" si="312"/>
        <v>C</v>
      </c>
      <c r="J355" s="12">
        <v>62</v>
      </c>
      <c r="K355" s="12" t="str">
        <f t="shared" si="313"/>
        <v>C</v>
      </c>
      <c r="L355" s="12">
        <v>56</v>
      </c>
      <c r="M355" s="12" t="str">
        <f t="shared" si="314"/>
        <v>C</v>
      </c>
      <c r="N355" s="12">
        <v>59</v>
      </c>
      <c r="O355" s="12" t="str">
        <f t="shared" si="315"/>
        <v>C</v>
      </c>
      <c r="P355" s="12">
        <v>68</v>
      </c>
      <c r="Q355" s="12" t="str">
        <f t="shared" si="316"/>
        <v>C</v>
      </c>
      <c r="R355" s="12">
        <f t="shared" ref="R355:R362" si="326">SUM(F355+H355+J355+L355+N355+P355)</f>
        <v>370</v>
      </c>
      <c r="S355" s="12" t="str">
        <f t="shared" si="318"/>
        <v>62%</v>
      </c>
      <c r="T355" s="12">
        <f t="shared" si="319"/>
        <v>0</v>
      </c>
      <c r="U355" s="12">
        <f t="shared" si="320"/>
        <v>6</v>
      </c>
      <c r="V355" s="12">
        <f t="shared" si="321"/>
        <v>0</v>
      </c>
      <c r="W355" s="12">
        <f t="shared" si="322"/>
        <v>0</v>
      </c>
      <c r="X355" s="12">
        <f t="shared" si="323"/>
        <v>0</v>
      </c>
      <c r="Y355" s="19"/>
      <c r="Z355" s="20" t="s">
        <v>784</v>
      </c>
      <c r="AA355" s="12"/>
      <c r="AB355" s="47"/>
    </row>
    <row r="356" spans="2:28" ht="27" customHeight="1">
      <c r="B356" s="9">
        <v>349</v>
      </c>
      <c r="C356" s="16" t="s">
        <v>785</v>
      </c>
      <c r="D356" s="40" t="s">
        <v>786</v>
      </c>
      <c r="E356" s="15" t="s">
        <v>787</v>
      </c>
      <c r="F356" s="12">
        <v>65</v>
      </c>
      <c r="G356" s="12" t="str">
        <f t="shared" si="325"/>
        <v>C</v>
      </c>
      <c r="H356" s="12">
        <v>76</v>
      </c>
      <c r="I356" s="12" t="str">
        <f t="shared" si="312"/>
        <v>D</v>
      </c>
      <c r="J356" s="12">
        <v>76</v>
      </c>
      <c r="K356" s="12" t="str">
        <f t="shared" si="313"/>
        <v>D</v>
      </c>
      <c r="L356" s="12">
        <v>68</v>
      </c>
      <c r="M356" s="12" t="str">
        <f t="shared" si="314"/>
        <v>C</v>
      </c>
      <c r="N356" s="12">
        <v>55</v>
      </c>
      <c r="O356" s="12" t="str">
        <f t="shared" si="315"/>
        <v>C</v>
      </c>
      <c r="P356" s="12">
        <v>61</v>
      </c>
      <c r="Q356" s="12" t="str">
        <f t="shared" si="316"/>
        <v>C</v>
      </c>
      <c r="R356" s="12">
        <f t="shared" si="326"/>
        <v>401</v>
      </c>
      <c r="S356" s="12" t="str">
        <f t="shared" si="318"/>
        <v>67%</v>
      </c>
      <c r="T356" s="12">
        <f t="shared" si="319"/>
        <v>2</v>
      </c>
      <c r="U356" s="12">
        <f t="shared" si="320"/>
        <v>4</v>
      </c>
      <c r="V356" s="12">
        <f t="shared" si="321"/>
        <v>0</v>
      </c>
      <c r="W356" s="12">
        <f t="shared" si="322"/>
        <v>0</v>
      </c>
      <c r="X356" s="12">
        <f t="shared" si="323"/>
        <v>0</v>
      </c>
      <c r="Y356" s="19"/>
      <c r="Z356" s="20" t="s">
        <v>10</v>
      </c>
      <c r="AA356" s="12"/>
      <c r="AB356" s="47"/>
    </row>
    <row r="357" spans="2:28" ht="27" customHeight="1">
      <c r="B357" s="9">
        <v>350</v>
      </c>
      <c r="C357" s="16" t="s">
        <v>788</v>
      </c>
      <c r="D357" s="40" t="s">
        <v>789</v>
      </c>
      <c r="E357" s="15" t="s">
        <v>790</v>
      </c>
      <c r="F357" s="12">
        <v>73</v>
      </c>
      <c r="G357" s="12" t="str">
        <f t="shared" si="325"/>
        <v>C</v>
      </c>
      <c r="H357" s="12">
        <v>79</v>
      </c>
      <c r="I357" s="12" t="str">
        <f t="shared" si="312"/>
        <v>D</v>
      </c>
      <c r="J357" s="12">
        <v>88</v>
      </c>
      <c r="K357" s="12" t="str">
        <f t="shared" si="313"/>
        <v>D</v>
      </c>
      <c r="L357" s="12">
        <v>79</v>
      </c>
      <c r="M357" s="12" t="str">
        <f t="shared" si="314"/>
        <v>D</v>
      </c>
      <c r="N357" s="12">
        <v>64</v>
      </c>
      <c r="O357" s="12" t="str">
        <f t="shared" si="315"/>
        <v>C</v>
      </c>
      <c r="P357" s="12">
        <v>85</v>
      </c>
      <c r="Q357" s="12" t="str">
        <f t="shared" si="316"/>
        <v>D</v>
      </c>
      <c r="R357" s="12">
        <f t="shared" si="326"/>
        <v>468</v>
      </c>
      <c r="S357" s="12" t="str">
        <f t="shared" si="318"/>
        <v>78%</v>
      </c>
      <c r="T357" s="12">
        <f t="shared" si="319"/>
        <v>4</v>
      </c>
      <c r="U357" s="12">
        <f t="shared" si="320"/>
        <v>2</v>
      </c>
      <c r="V357" s="12">
        <f t="shared" si="321"/>
        <v>0</v>
      </c>
      <c r="W357" s="12">
        <f t="shared" si="322"/>
        <v>0</v>
      </c>
      <c r="X357" s="12">
        <f t="shared" si="323"/>
        <v>0</v>
      </c>
      <c r="Y357" s="19"/>
      <c r="Z357" s="20" t="str">
        <f t="shared" ref="Z357:Z360" si="327">IF(X357&gt;0, "Not Completed",
   IF(T357=10, "First Class",
      IF(S357&gt;75, IF(V357&gt;0, "Ordinary Pass", "First Class"),
         IF(S357&gt;65, IF(V357&gt;0, "Ordinary Pass", "Second Class"), "none")
      )
   )
)</f>
        <v>First Class</v>
      </c>
      <c r="AA357" s="12"/>
      <c r="AB357" s="47"/>
    </row>
    <row r="358" spans="2:28" ht="27" customHeight="1">
      <c r="B358" s="9">
        <v>351</v>
      </c>
      <c r="C358" s="16" t="s">
        <v>791</v>
      </c>
      <c r="D358" s="40" t="s">
        <v>792</v>
      </c>
      <c r="E358" s="15" t="s">
        <v>793</v>
      </c>
      <c r="F358" s="12">
        <v>69</v>
      </c>
      <c r="G358" s="12" t="str">
        <f t="shared" si="325"/>
        <v>C</v>
      </c>
      <c r="H358" s="12">
        <v>66</v>
      </c>
      <c r="I358" s="12" t="str">
        <f t="shared" si="312"/>
        <v>C</v>
      </c>
      <c r="J358" s="12">
        <v>89</v>
      </c>
      <c r="K358" s="12" t="str">
        <f t="shared" si="313"/>
        <v>D</v>
      </c>
      <c r="L358" s="12">
        <v>76</v>
      </c>
      <c r="M358" s="12" t="str">
        <f t="shared" si="314"/>
        <v>D</v>
      </c>
      <c r="N358" s="12">
        <v>46</v>
      </c>
      <c r="O358" s="12" t="str">
        <f t="shared" si="315"/>
        <v>S</v>
      </c>
      <c r="P358" s="12">
        <v>74</v>
      </c>
      <c r="Q358" s="12" t="str">
        <f t="shared" si="316"/>
        <v>C</v>
      </c>
      <c r="R358" s="12">
        <f t="shared" si="326"/>
        <v>420</v>
      </c>
      <c r="S358" s="12" t="str">
        <f t="shared" si="318"/>
        <v>70%</v>
      </c>
      <c r="T358" s="12">
        <f t="shared" si="319"/>
        <v>2</v>
      </c>
      <c r="U358" s="12">
        <f t="shared" si="320"/>
        <v>3</v>
      </c>
      <c r="V358" s="12">
        <f t="shared" si="321"/>
        <v>1</v>
      </c>
      <c r="W358" s="12">
        <f t="shared" si="322"/>
        <v>0</v>
      </c>
      <c r="X358" s="12">
        <f t="shared" si="323"/>
        <v>0</v>
      </c>
      <c r="Y358" s="19"/>
      <c r="Z358" s="20" t="str">
        <f t="shared" si="327"/>
        <v>Ordinary Pass</v>
      </c>
      <c r="AA358" s="12"/>
      <c r="AB358" s="47"/>
    </row>
    <row r="359" spans="2:28" ht="27" customHeight="1">
      <c r="B359" s="9">
        <v>352</v>
      </c>
      <c r="C359" s="16" t="s">
        <v>794</v>
      </c>
      <c r="D359" s="40" t="s">
        <v>795</v>
      </c>
      <c r="E359" s="15" t="s">
        <v>796</v>
      </c>
      <c r="F359" s="12">
        <v>63</v>
      </c>
      <c r="G359" s="12" t="str">
        <f t="shared" si="325"/>
        <v>C</v>
      </c>
      <c r="H359" s="12">
        <v>57</v>
      </c>
      <c r="I359" s="12" t="str">
        <f t="shared" si="312"/>
        <v>C</v>
      </c>
      <c r="J359" s="12">
        <v>93</v>
      </c>
      <c r="K359" s="12" t="str">
        <f t="shared" si="313"/>
        <v>D</v>
      </c>
      <c r="L359" s="12">
        <v>69</v>
      </c>
      <c r="M359" s="12" t="str">
        <f t="shared" si="314"/>
        <v>C</v>
      </c>
      <c r="N359" s="12">
        <v>44</v>
      </c>
      <c r="O359" s="12" t="str">
        <f t="shared" si="315"/>
        <v>S</v>
      </c>
      <c r="P359" s="12">
        <v>71</v>
      </c>
      <c r="Q359" s="12" t="str">
        <f t="shared" si="316"/>
        <v>C</v>
      </c>
      <c r="R359" s="12">
        <f t="shared" si="326"/>
        <v>397</v>
      </c>
      <c r="S359" s="12" t="str">
        <f t="shared" si="318"/>
        <v>66%</v>
      </c>
      <c r="T359" s="12">
        <f t="shared" si="319"/>
        <v>1</v>
      </c>
      <c r="U359" s="12">
        <f t="shared" si="320"/>
        <v>4</v>
      </c>
      <c r="V359" s="12">
        <f t="shared" si="321"/>
        <v>1</v>
      </c>
      <c r="W359" s="12">
        <f t="shared" si="322"/>
        <v>0</v>
      </c>
      <c r="X359" s="12">
        <f t="shared" si="323"/>
        <v>0</v>
      </c>
      <c r="Y359" s="19"/>
      <c r="Z359" s="20" t="str">
        <f t="shared" si="327"/>
        <v>Ordinary Pass</v>
      </c>
      <c r="AA359" s="12"/>
      <c r="AB359" s="47"/>
    </row>
    <row r="360" spans="2:28" ht="27" customHeight="1">
      <c r="B360" s="9">
        <v>353</v>
      </c>
      <c r="C360" s="16" t="s">
        <v>797</v>
      </c>
      <c r="D360" s="40" t="s">
        <v>798</v>
      </c>
      <c r="E360" s="15" t="s">
        <v>799</v>
      </c>
      <c r="F360" s="12">
        <v>50</v>
      </c>
      <c r="G360" s="12" t="str">
        <f t="shared" si="325"/>
        <v>S</v>
      </c>
      <c r="H360" s="12">
        <v>54</v>
      </c>
      <c r="I360" s="12" t="str">
        <f t="shared" si="312"/>
        <v>S</v>
      </c>
      <c r="J360" s="12">
        <v>61</v>
      </c>
      <c r="K360" s="12" t="str">
        <f t="shared" si="313"/>
        <v>C</v>
      </c>
      <c r="L360" s="12">
        <v>67</v>
      </c>
      <c r="M360" s="12" t="str">
        <f t="shared" si="314"/>
        <v>C</v>
      </c>
      <c r="N360" s="12">
        <v>56</v>
      </c>
      <c r="O360" s="12" t="str">
        <f t="shared" si="315"/>
        <v>C</v>
      </c>
      <c r="P360" s="12">
        <v>79</v>
      </c>
      <c r="Q360" s="12" t="str">
        <f t="shared" si="316"/>
        <v>D</v>
      </c>
      <c r="R360" s="12">
        <f t="shared" si="326"/>
        <v>367</v>
      </c>
      <c r="S360" s="12" t="str">
        <f t="shared" si="318"/>
        <v>61%</v>
      </c>
      <c r="T360" s="12">
        <f t="shared" si="319"/>
        <v>1</v>
      </c>
      <c r="U360" s="12">
        <f t="shared" si="320"/>
        <v>3</v>
      </c>
      <c r="V360" s="12">
        <f t="shared" si="321"/>
        <v>1</v>
      </c>
      <c r="W360" s="12">
        <f t="shared" si="322"/>
        <v>0</v>
      </c>
      <c r="X360" s="12">
        <f t="shared" si="323"/>
        <v>0</v>
      </c>
      <c r="Y360" s="19"/>
      <c r="Z360" s="20" t="str">
        <f t="shared" si="327"/>
        <v>Ordinary Pass</v>
      </c>
      <c r="AA360" s="12"/>
      <c r="AB360" s="47"/>
    </row>
    <row r="361" spans="2:28" ht="27" customHeight="1">
      <c r="B361" s="9">
        <v>354</v>
      </c>
      <c r="C361" s="16" t="s">
        <v>800</v>
      </c>
      <c r="D361" s="40" t="s">
        <v>801</v>
      </c>
      <c r="E361" s="15" t="s">
        <v>802</v>
      </c>
      <c r="F361" s="12">
        <v>65</v>
      </c>
      <c r="G361" s="12" t="str">
        <f t="shared" si="325"/>
        <v>C</v>
      </c>
      <c r="H361" s="12">
        <v>73</v>
      </c>
      <c r="I361" s="12" t="str">
        <f t="shared" si="312"/>
        <v>C</v>
      </c>
      <c r="J361" s="12">
        <v>87</v>
      </c>
      <c r="K361" s="12" t="str">
        <f t="shared" si="313"/>
        <v>D</v>
      </c>
      <c r="L361" s="12">
        <v>70</v>
      </c>
      <c r="M361" s="12" t="str">
        <f t="shared" si="314"/>
        <v>C</v>
      </c>
      <c r="N361" s="12">
        <v>58</v>
      </c>
      <c r="O361" s="12" t="str">
        <f t="shared" si="315"/>
        <v>C</v>
      </c>
      <c r="P361" s="12">
        <v>79</v>
      </c>
      <c r="Q361" s="12" t="str">
        <f t="shared" si="316"/>
        <v>D</v>
      </c>
      <c r="R361" s="12">
        <f t="shared" si="326"/>
        <v>432</v>
      </c>
      <c r="S361" s="12" t="str">
        <f t="shared" si="318"/>
        <v>72%</v>
      </c>
      <c r="T361" s="12">
        <f t="shared" si="319"/>
        <v>2</v>
      </c>
      <c r="U361" s="12">
        <f t="shared" si="320"/>
        <v>4</v>
      </c>
      <c r="V361" s="12">
        <f t="shared" si="321"/>
        <v>0</v>
      </c>
      <c r="W361" s="12">
        <f t="shared" si="322"/>
        <v>0</v>
      </c>
      <c r="X361" s="12">
        <f t="shared" si="323"/>
        <v>0</v>
      </c>
      <c r="Y361" s="19"/>
      <c r="Z361" s="20" t="s">
        <v>10</v>
      </c>
      <c r="AA361" s="12"/>
      <c r="AB361" s="47"/>
    </row>
    <row r="362" spans="2:28" ht="27" customHeight="1">
      <c r="B362" s="9">
        <v>355</v>
      </c>
      <c r="C362" s="16" t="s">
        <v>803</v>
      </c>
      <c r="D362" s="40">
        <v>198381702350</v>
      </c>
      <c r="E362" s="15" t="s">
        <v>804</v>
      </c>
      <c r="F362" s="12">
        <v>71</v>
      </c>
      <c r="G362" s="12" t="str">
        <f t="shared" si="325"/>
        <v>C</v>
      </c>
      <c r="H362" s="12">
        <v>80</v>
      </c>
      <c r="I362" s="12" t="str">
        <f t="shared" si="312"/>
        <v>D</v>
      </c>
      <c r="J362" s="12">
        <v>80</v>
      </c>
      <c r="K362" s="12" t="str">
        <f t="shared" si="313"/>
        <v>D</v>
      </c>
      <c r="L362" s="12">
        <v>65</v>
      </c>
      <c r="M362" s="12" t="str">
        <f t="shared" si="314"/>
        <v>C</v>
      </c>
      <c r="N362" s="12">
        <v>65</v>
      </c>
      <c r="O362" s="12" t="str">
        <f t="shared" si="315"/>
        <v>C</v>
      </c>
      <c r="P362" s="12">
        <v>67</v>
      </c>
      <c r="Q362" s="12" t="str">
        <f t="shared" si="316"/>
        <v>C</v>
      </c>
      <c r="R362" s="12">
        <f t="shared" si="326"/>
        <v>428</v>
      </c>
      <c r="S362" s="12" t="str">
        <f t="shared" si="318"/>
        <v>71%</v>
      </c>
      <c r="T362" s="12">
        <f t="shared" si="319"/>
        <v>2</v>
      </c>
      <c r="U362" s="12">
        <f t="shared" si="320"/>
        <v>4</v>
      </c>
      <c r="V362" s="12">
        <f t="shared" si="321"/>
        <v>0</v>
      </c>
      <c r="W362" s="12">
        <f t="shared" si="322"/>
        <v>0</v>
      </c>
      <c r="X362" s="12">
        <f t="shared" si="323"/>
        <v>0</v>
      </c>
      <c r="Y362" s="19"/>
      <c r="Z362" s="20" t="s">
        <v>10</v>
      </c>
      <c r="AA362" s="12"/>
      <c r="AB362" s="47"/>
    </row>
    <row r="363" spans="2:28" ht="27" customHeight="1">
      <c r="B363" s="9">
        <v>356</v>
      </c>
      <c r="C363" s="16" t="s">
        <v>805</v>
      </c>
      <c r="D363" s="17" t="s">
        <v>806</v>
      </c>
      <c r="E363" s="15" t="s">
        <v>807</v>
      </c>
      <c r="F363" s="1">
        <v>58</v>
      </c>
      <c r="G363" s="12" t="str">
        <f>IF(F363="-", "AB", IF(F363&gt;=75, "D", IF(F363&gt;=55, "C", IF(F363&gt;=35, "S", IF(F363&gt;=0, "F")))))</f>
        <v>C</v>
      </c>
      <c r="H363" s="12">
        <v>64</v>
      </c>
      <c r="I363" s="12" t="str">
        <f t="shared" si="312"/>
        <v>C</v>
      </c>
      <c r="J363" s="12">
        <v>42</v>
      </c>
      <c r="K363" s="12" t="str">
        <f t="shared" si="313"/>
        <v>S</v>
      </c>
      <c r="L363" s="12">
        <v>46</v>
      </c>
      <c r="M363" s="12" t="str">
        <f t="shared" si="314"/>
        <v>S</v>
      </c>
      <c r="N363" s="12">
        <v>68</v>
      </c>
      <c r="O363" s="12" t="str">
        <f t="shared" si="315"/>
        <v>C</v>
      </c>
      <c r="P363" s="12">
        <v>70</v>
      </c>
      <c r="Q363" s="12" t="str">
        <f t="shared" si="316"/>
        <v>C</v>
      </c>
      <c r="R363" s="12">
        <f>SUM(F363+H363+J363+L363+N363+P363)</f>
        <v>348</v>
      </c>
      <c r="S363" s="12" t="str">
        <f>ROUND(R363/6, 0)&amp;"%"</f>
        <v>58%</v>
      </c>
      <c r="T363" s="12">
        <f t="shared" si="319"/>
        <v>0</v>
      </c>
      <c r="U363" s="12">
        <f t="shared" si="320"/>
        <v>4</v>
      </c>
      <c r="V363" s="12">
        <f t="shared" si="321"/>
        <v>2</v>
      </c>
      <c r="W363" s="12">
        <f t="shared" si="322"/>
        <v>0</v>
      </c>
      <c r="X363" s="12">
        <f t="shared" si="323"/>
        <v>0</v>
      </c>
      <c r="Y363" s="19"/>
      <c r="Z363" s="20" t="str">
        <f>IF(X363&gt;0, "Not Completed",
   IF(T363=10, "First Class",
      IF(S363&gt;75, IF(V363&gt;0, "Ordinary Pass", "First Class"),
         IF(S363&gt;65, IF(V363&gt;0, "Ordinary Pass", "Second Class"), "none")
      )
   )
)</f>
        <v>Ordinary Pass</v>
      </c>
      <c r="AA363" s="12"/>
      <c r="AB363" s="47"/>
    </row>
    <row r="364" spans="2:28" ht="27" customHeight="1">
      <c r="B364" s="9">
        <v>357</v>
      </c>
      <c r="C364" s="16" t="s">
        <v>808</v>
      </c>
      <c r="D364" s="18" t="s">
        <v>809</v>
      </c>
      <c r="E364" s="15" t="s">
        <v>810</v>
      </c>
      <c r="F364" s="12">
        <v>60</v>
      </c>
      <c r="G364" s="12" t="str">
        <f t="shared" ref="G364:G367" si="328">IF(F364="-", "AB", IF(F364&gt;=75, "D", IF(F364&gt;=55, "C", IF(F364&gt;=35, "S", IF(F364&gt;=0, "F")))))</f>
        <v>C</v>
      </c>
      <c r="H364" s="12">
        <v>79</v>
      </c>
      <c r="I364" s="12" t="str">
        <f t="shared" si="312"/>
        <v>D</v>
      </c>
      <c r="J364" s="12">
        <v>41</v>
      </c>
      <c r="K364" s="12" t="str">
        <f t="shared" si="313"/>
        <v>S</v>
      </c>
      <c r="L364" s="12">
        <v>60</v>
      </c>
      <c r="M364" s="12" t="str">
        <f t="shared" si="314"/>
        <v>C</v>
      </c>
      <c r="N364" s="12">
        <v>61</v>
      </c>
      <c r="O364" s="12" t="str">
        <f t="shared" si="315"/>
        <v>C</v>
      </c>
      <c r="P364" s="12">
        <v>85</v>
      </c>
      <c r="Q364" s="12" t="str">
        <f t="shared" si="316"/>
        <v>D</v>
      </c>
      <c r="R364" s="12">
        <f t="shared" ref="R364:R366" si="329">SUM(F364+H364+J364+L364+N364+P364)</f>
        <v>386</v>
      </c>
      <c r="S364" s="12" t="str">
        <f t="shared" ref="S364:S367" si="330">ROUND(R364/6, 0)&amp;"%"</f>
        <v>64%</v>
      </c>
      <c r="T364" s="12">
        <f t="shared" si="319"/>
        <v>2</v>
      </c>
      <c r="U364" s="12">
        <f t="shared" si="320"/>
        <v>3</v>
      </c>
      <c r="V364" s="12">
        <f t="shared" si="321"/>
        <v>1</v>
      </c>
      <c r="W364" s="12">
        <f t="shared" si="322"/>
        <v>0</v>
      </c>
      <c r="X364" s="12">
        <f t="shared" si="323"/>
        <v>0</v>
      </c>
      <c r="Y364" s="19"/>
      <c r="Z364" s="20" t="str">
        <f t="shared" ref="Z364:Z367" si="331">IF(X364&gt;0, "Not Completed",
   IF(T364=10, "First Class",
      IF(S364&gt;75, IF(V364&gt;0, "Ordinary Pass", "First Class"),
         IF(S364&gt;65, IF(V364&gt;0, "Ordinary Pass", "Second Class"), "none")
      )
   )
)</f>
        <v>Ordinary Pass</v>
      </c>
      <c r="AA364" s="12"/>
      <c r="AB364" s="47"/>
    </row>
    <row r="365" spans="2:28" ht="27" customHeight="1">
      <c r="B365" s="9">
        <v>358</v>
      </c>
      <c r="C365" s="16" t="s">
        <v>811</v>
      </c>
      <c r="D365" s="18" t="s">
        <v>812</v>
      </c>
      <c r="E365" s="15" t="s">
        <v>813</v>
      </c>
      <c r="F365" s="12">
        <v>31</v>
      </c>
      <c r="G365" s="12" t="str">
        <f t="shared" si="328"/>
        <v>F</v>
      </c>
      <c r="H365" s="12">
        <v>54</v>
      </c>
      <c r="I365" s="12" t="str">
        <f t="shared" si="312"/>
        <v>S</v>
      </c>
      <c r="J365" s="12">
        <v>40</v>
      </c>
      <c r="K365" s="12" t="str">
        <f t="shared" si="313"/>
        <v>S</v>
      </c>
      <c r="L365" s="12">
        <v>57</v>
      </c>
      <c r="M365" s="12" t="str">
        <f t="shared" si="314"/>
        <v>C</v>
      </c>
      <c r="N365" s="12">
        <v>59</v>
      </c>
      <c r="O365" s="12" t="str">
        <f t="shared" si="315"/>
        <v>C</v>
      </c>
      <c r="P365" s="12">
        <v>80</v>
      </c>
      <c r="Q365" s="12" t="str">
        <f t="shared" si="316"/>
        <v>D</v>
      </c>
      <c r="R365" s="12">
        <f t="shared" si="329"/>
        <v>321</v>
      </c>
      <c r="S365" s="12" t="str">
        <f t="shared" si="330"/>
        <v>54%</v>
      </c>
      <c r="T365" s="12">
        <f t="shared" si="319"/>
        <v>1</v>
      </c>
      <c r="U365" s="12">
        <f t="shared" si="320"/>
        <v>2</v>
      </c>
      <c r="V365" s="12">
        <f t="shared" si="321"/>
        <v>2</v>
      </c>
      <c r="W365" s="12">
        <f t="shared" si="322"/>
        <v>0</v>
      </c>
      <c r="X365" s="12">
        <f t="shared" si="323"/>
        <v>0</v>
      </c>
      <c r="Y365" s="19"/>
      <c r="Z365" s="20" t="s">
        <v>6</v>
      </c>
      <c r="AA365" s="12" t="s">
        <v>143</v>
      </c>
      <c r="AB365" s="47"/>
    </row>
    <row r="366" spans="2:28" ht="27" customHeight="1">
      <c r="B366" s="9">
        <v>359</v>
      </c>
      <c r="C366" s="16" t="s">
        <v>814</v>
      </c>
      <c r="D366" s="18">
        <v>198673203490</v>
      </c>
      <c r="E366" s="15" t="s">
        <v>815</v>
      </c>
      <c r="F366" s="12">
        <v>35</v>
      </c>
      <c r="G366" s="12" t="str">
        <f t="shared" si="328"/>
        <v>S</v>
      </c>
      <c r="H366" s="12">
        <v>63</v>
      </c>
      <c r="I366" s="12" t="str">
        <f t="shared" si="312"/>
        <v>C</v>
      </c>
      <c r="J366" s="12">
        <v>24</v>
      </c>
      <c r="K366" s="12" t="str">
        <f t="shared" si="313"/>
        <v>F</v>
      </c>
      <c r="L366" s="12">
        <v>48</v>
      </c>
      <c r="M366" s="12" t="str">
        <f t="shared" si="314"/>
        <v>S</v>
      </c>
      <c r="N366" s="12">
        <v>64</v>
      </c>
      <c r="O366" s="12" t="str">
        <f t="shared" si="315"/>
        <v>C</v>
      </c>
      <c r="P366" s="12">
        <v>59</v>
      </c>
      <c r="Q366" s="12" t="str">
        <f t="shared" si="316"/>
        <v>C</v>
      </c>
      <c r="R366" s="12">
        <f t="shared" si="329"/>
        <v>293</v>
      </c>
      <c r="S366" s="12" t="str">
        <f t="shared" si="330"/>
        <v>49%</v>
      </c>
      <c r="T366" s="12">
        <f t="shared" si="319"/>
        <v>0</v>
      </c>
      <c r="U366" s="12">
        <f t="shared" si="320"/>
        <v>3</v>
      </c>
      <c r="V366" s="12">
        <f t="shared" si="321"/>
        <v>1</v>
      </c>
      <c r="W366" s="12">
        <f t="shared" si="322"/>
        <v>1</v>
      </c>
      <c r="X366" s="12">
        <f t="shared" si="323"/>
        <v>0</v>
      </c>
      <c r="Y366" s="19"/>
      <c r="Z366" s="20" t="s">
        <v>6</v>
      </c>
      <c r="AA366" s="12" t="s">
        <v>84</v>
      </c>
      <c r="AB366" s="47"/>
    </row>
    <row r="367" spans="2:28" ht="23.25" customHeight="1">
      <c r="B367" s="9">
        <v>360</v>
      </c>
      <c r="C367" s="16" t="s">
        <v>816</v>
      </c>
      <c r="D367" s="18">
        <v>200163900270</v>
      </c>
      <c r="E367" s="15" t="s">
        <v>817</v>
      </c>
      <c r="F367" s="12" t="s">
        <v>14</v>
      </c>
      <c r="G367" s="12" t="str">
        <f t="shared" si="328"/>
        <v>AB</v>
      </c>
      <c r="H367" s="12" t="s">
        <v>14</v>
      </c>
      <c r="I367" s="12" t="str">
        <f t="shared" si="312"/>
        <v>AB</v>
      </c>
      <c r="J367" s="12">
        <v>58</v>
      </c>
      <c r="K367" s="12" t="str">
        <f t="shared" si="313"/>
        <v>C</v>
      </c>
      <c r="L367" s="12" t="s">
        <v>14</v>
      </c>
      <c r="M367" s="12" t="str">
        <f t="shared" si="314"/>
        <v>AB</v>
      </c>
      <c r="N367" s="12" t="s">
        <v>14</v>
      </c>
      <c r="O367" s="12" t="str">
        <f t="shared" si="315"/>
        <v>AB</v>
      </c>
      <c r="P367" s="12" t="s">
        <v>14</v>
      </c>
      <c r="Q367" s="12" t="str">
        <f t="shared" si="316"/>
        <v>AB</v>
      </c>
      <c r="R367" s="12">
        <v>58</v>
      </c>
      <c r="S367" s="12" t="str">
        <f t="shared" si="330"/>
        <v>10%</v>
      </c>
      <c r="T367" s="12">
        <f t="shared" si="319"/>
        <v>0</v>
      </c>
      <c r="U367" s="12">
        <f t="shared" si="320"/>
        <v>1</v>
      </c>
      <c r="V367" s="12">
        <f t="shared" si="321"/>
        <v>0</v>
      </c>
      <c r="W367" s="12">
        <f t="shared" si="322"/>
        <v>0</v>
      </c>
      <c r="X367" s="12">
        <f t="shared" si="323"/>
        <v>5</v>
      </c>
      <c r="Y367" s="19"/>
      <c r="Z367" s="20" t="str">
        <f t="shared" si="331"/>
        <v>Not Completed</v>
      </c>
      <c r="AA367" s="12"/>
      <c r="AB367" s="47"/>
    </row>
    <row r="368" spans="2:28" ht="27" customHeight="1">
      <c r="B368" s="9">
        <v>361</v>
      </c>
      <c r="C368" s="16" t="s">
        <v>818</v>
      </c>
      <c r="D368" s="18" t="s">
        <v>819</v>
      </c>
      <c r="E368" s="15" t="s">
        <v>820</v>
      </c>
      <c r="F368" s="12" t="s">
        <v>14</v>
      </c>
      <c r="G368" s="12" t="str">
        <f t="shared" ref="G368:G387" si="332">IF(F368="-", "AB", IF(F368&gt;=75, "D", IF(F368&gt;=55, "C", IF(F368&gt;=35, "S", IF(F368&gt;=0, "F")))))</f>
        <v>AB</v>
      </c>
      <c r="H368" s="12" t="s">
        <v>14</v>
      </c>
      <c r="I368" s="12" t="str">
        <f t="shared" ref="I368:I387" si="333">IF(H368="-", "AB", IF(H368&gt;=75, "D", IF(H368&gt;=55, "C", IF(H368&gt;=35, "S", IF(H368&gt;=0, "F")))))</f>
        <v>AB</v>
      </c>
      <c r="J368" s="12">
        <v>31</v>
      </c>
      <c r="K368" s="12" t="str">
        <f t="shared" ref="K368:K387" si="334">IF(J368="-", "AB", IF(J368&gt;=75, "D", IF(J368&gt;=55, "C", IF(J368&gt;=35, "S", IF(J368&gt;=0, "F")))))</f>
        <v>F</v>
      </c>
      <c r="L368" s="12" t="s">
        <v>14</v>
      </c>
      <c r="M368" s="12" t="str">
        <f t="shared" ref="M368:M387" si="335">IF(L368="-", "AB", IF(L368&gt;=75, "D", IF(L368&gt;=55, "C", IF(L368&gt;=35, "S", IF(L368&gt;=0, "F")))))</f>
        <v>AB</v>
      </c>
      <c r="N368" s="12" t="s">
        <v>14</v>
      </c>
      <c r="O368" s="12" t="str">
        <f t="shared" ref="O368:O387" si="336">IF(N368="-", "AB", IF(N368&gt;=75, "D", IF(N368&gt;=55, "C", IF(N368&gt;=35, "S", IF(N368&gt;=0, "F")))))</f>
        <v>AB</v>
      </c>
      <c r="P368" s="12" t="s">
        <v>14</v>
      </c>
      <c r="Q368" s="12" t="str">
        <f t="shared" ref="Q368:Q387" si="337">IF(P368="-", "AB", IF(P368&gt;=75, "D", IF(P368&gt;=55, "C", IF(P368&gt;=35, "S", IF(P368&gt;=0, "F")))))</f>
        <v>AB</v>
      </c>
      <c r="R368" s="12">
        <v>31</v>
      </c>
      <c r="S368" s="12" t="str">
        <f t="shared" ref="S368:S387" si="338">ROUND(R368/6, 0)&amp;"%"</f>
        <v>5%</v>
      </c>
      <c r="T368" s="12">
        <f t="shared" ref="T368:T387" si="339">COUNTIF(F368:Q368, "D")</f>
        <v>0</v>
      </c>
      <c r="U368" s="12">
        <f t="shared" ref="U368:U387" si="340">COUNTIF(G368:T368, "C")</f>
        <v>0</v>
      </c>
      <c r="V368" s="12">
        <f t="shared" ref="V368:V387" si="341">COUNTIF(H368:U368, "S")</f>
        <v>0</v>
      </c>
      <c r="W368" s="12">
        <f t="shared" ref="W368:W387" si="342">COUNTIF(I368:V368, "F")</f>
        <v>1</v>
      </c>
      <c r="X368" s="12">
        <f t="shared" ref="X368:X387" si="343">COUNTIF(F368:W368, "-")</f>
        <v>5</v>
      </c>
      <c r="Y368" s="19"/>
      <c r="Z368" s="20" t="str">
        <f t="shared" ref="Z368:Z382" si="344">IF(X368&gt;0, "Not Completed",
   IF(T368=10, "First Class",
      IF(S368&gt;75, IF(V368&gt;0, "Ordinary Pass", "First Class"),
         IF(S368&gt;65, IF(V368&gt;0, "Ordinary Pass", "Second Class"), "none")
      )
   )
)</f>
        <v>Not Completed</v>
      </c>
      <c r="AA368" s="12"/>
      <c r="AB368" s="47"/>
    </row>
    <row r="369" spans="2:28" ht="27" customHeight="1">
      <c r="B369" s="9">
        <v>362</v>
      </c>
      <c r="C369" s="16" t="s">
        <v>821</v>
      </c>
      <c r="D369" s="18">
        <v>200368012675</v>
      </c>
      <c r="E369" s="15" t="s">
        <v>822</v>
      </c>
      <c r="F369" s="12" t="s">
        <v>14</v>
      </c>
      <c r="G369" s="12" t="str">
        <f t="shared" si="332"/>
        <v>AB</v>
      </c>
      <c r="H369" s="12" t="s">
        <v>14</v>
      </c>
      <c r="I369" s="12" t="str">
        <f t="shared" si="333"/>
        <v>AB</v>
      </c>
      <c r="J369" s="12" t="s">
        <v>14</v>
      </c>
      <c r="K369" s="12" t="str">
        <f t="shared" si="334"/>
        <v>AB</v>
      </c>
      <c r="L369" s="12" t="s">
        <v>14</v>
      </c>
      <c r="M369" s="12" t="str">
        <f t="shared" si="335"/>
        <v>AB</v>
      </c>
      <c r="N369" s="12" t="s">
        <v>14</v>
      </c>
      <c r="O369" s="12" t="str">
        <f t="shared" si="336"/>
        <v>AB</v>
      </c>
      <c r="P369" s="12" t="s">
        <v>14</v>
      </c>
      <c r="Q369" s="12" t="str">
        <f t="shared" si="337"/>
        <v>AB</v>
      </c>
      <c r="R369" s="12">
        <v>0</v>
      </c>
      <c r="S369" s="12" t="str">
        <f t="shared" si="338"/>
        <v>0%</v>
      </c>
      <c r="T369" s="12">
        <f t="shared" si="339"/>
        <v>0</v>
      </c>
      <c r="U369" s="12">
        <f t="shared" si="340"/>
        <v>0</v>
      </c>
      <c r="V369" s="12">
        <f t="shared" si="341"/>
        <v>0</v>
      </c>
      <c r="W369" s="12">
        <f t="shared" si="342"/>
        <v>0</v>
      </c>
      <c r="X369" s="12">
        <f t="shared" si="343"/>
        <v>6</v>
      </c>
      <c r="Y369" s="19"/>
      <c r="Z369" s="20" t="s">
        <v>7</v>
      </c>
      <c r="AA369" s="12"/>
      <c r="AB369" s="47"/>
    </row>
    <row r="370" spans="2:28" ht="27" customHeight="1">
      <c r="B370" s="9">
        <v>363</v>
      </c>
      <c r="C370" s="16" t="s">
        <v>823</v>
      </c>
      <c r="D370" s="18">
        <v>200378212564</v>
      </c>
      <c r="E370" s="15" t="s">
        <v>824</v>
      </c>
      <c r="F370" s="12" t="s">
        <v>14</v>
      </c>
      <c r="G370" s="12" t="str">
        <f t="shared" si="332"/>
        <v>AB</v>
      </c>
      <c r="H370" s="12" t="s">
        <v>14</v>
      </c>
      <c r="I370" s="12" t="str">
        <f t="shared" si="333"/>
        <v>AB</v>
      </c>
      <c r="J370" s="12">
        <v>19</v>
      </c>
      <c r="K370" s="12" t="str">
        <f t="shared" si="334"/>
        <v>F</v>
      </c>
      <c r="L370" s="12" t="s">
        <v>14</v>
      </c>
      <c r="M370" s="12" t="str">
        <f t="shared" si="335"/>
        <v>AB</v>
      </c>
      <c r="N370" s="12" t="s">
        <v>14</v>
      </c>
      <c r="O370" s="12" t="str">
        <f t="shared" si="336"/>
        <v>AB</v>
      </c>
      <c r="P370" s="12" t="s">
        <v>14</v>
      </c>
      <c r="Q370" s="12" t="str">
        <f t="shared" si="337"/>
        <v>AB</v>
      </c>
      <c r="R370" s="12">
        <v>19</v>
      </c>
      <c r="S370" s="12" t="str">
        <f t="shared" si="338"/>
        <v>3%</v>
      </c>
      <c r="T370" s="12">
        <f t="shared" si="339"/>
        <v>0</v>
      </c>
      <c r="U370" s="12">
        <f t="shared" si="340"/>
        <v>0</v>
      </c>
      <c r="V370" s="12">
        <f t="shared" si="341"/>
        <v>0</v>
      </c>
      <c r="W370" s="12">
        <f t="shared" si="342"/>
        <v>1</v>
      </c>
      <c r="X370" s="12">
        <f t="shared" si="343"/>
        <v>5</v>
      </c>
      <c r="Y370" s="19"/>
      <c r="Z370" s="20" t="str">
        <f t="shared" si="344"/>
        <v>Not Completed</v>
      </c>
      <c r="AA370" s="12"/>
      <c r="AB370" s="47"/>
    </row>
    <row r="371" spans="2:28" ht="27" customHeight="1">
      <c r="B371" s="9">
        <v>364</v>
      </c>
      <c r="C371" s="16" t="s">
        <v>825</v>
      </c>
      <c r="D371" s="18" t="s">
        <v>826</v>
      </c>
      <c r="E371" s="15" t="s">
        <v>827</v>
      </c>
      <c r="F371" s="12">
        <v>63</v>
      </c>
      <c r="G371" s="12" t="str">
        <f t="shared" si="332"/>
        <v>C</v>
      </c>
      <c r="H371" s="12">
        <v>79</v>
      </c>
      <c r="I371" s="12" t="str">
        <f t="shared" si="333"/>
        <v>D</v>
      </c>
      <c r="J371" s="12">
        <v>45</v>
      </c>
      <c r="K371" s="12" t="str">
        <f t="shared" si="334"/>
        <v>S</v>
      </c>
      <c r="L371" s="12">
        <v>74</v>
      </c>
      <c r="M371" s="12" t="str">
        <f t="shared" si="335"/>
        <v>C</v>
      </c>
      <c r="N371" s="12">
        <v>78</v>
      </c>
      <c r="O371" s="12" t="str">
        <f t="shared" si="336"/>
        <v>D</v>
      </c>
      <c r="P371" s="12">
        <v>65</v>
      </c>
      <c r="Q371" s="12" t="str">
        <f t="shared" si="337"/>
        <v>C</v>
      </c>
      <c r="R371" s="12">
        <f t="shared" ref="R371:R385" si="345">SUM(F371+H371+J371+L371+N371+P371)</f>
        <v>404</v>
      </c>
      <c r="S371" s="12" t="str">
        <f t="shared" si="338"/>
        <v>67%</v>
      </c>
      <c r="T371" s="12">
        <f t="shared" si="339"/>
        <v>2</v>
      </c>
      <c r="U371" s="12">
        <f t="shared" si="340"/>
        <v>3</v>
      </c>
      <c r="V371" s="12">
        <f t="shared" si="341"/>
        <v>1</v>
      </c>
      <c r="W371" s="12">
        <f t="shared" si="342"/>
        <v>0</v>
      </c>
      <c r="X371" s="12">
        <f t="shared" si="343"/>
        <v>0</v>
      </c>
      <c r="Y371" s="19"/>
      <c r="Z371" s="20" t="str">
        <f t="shared" si="344"/>
        <v>Ordinary Pass</v>
      </c>
      <c r="AA371" s="12"/>
      <c r="AB371" s="47"/>
    </row>
    <row r="372" spans="2:28" ht="27" customHeight="1">
      <c r="B372" s="9">
        <v>365</v>
      </c>
      <c r="C372" s="16" t="s">
        <v>828</v>
      </c>
      <c r="D372" s="18" t="s">
        <v>829</v>
      </c>
      <c r="E372" s="15" t="s">
        <v>830</v>
      </c>
      <c r="F372" s="12">
        <v>31</v>
      </c>
      <c r="G372" s="12" t="str">
        <f t="shared" si="332"/>
        <v>F</v>
      </c>
      <c r="H372" s="12">
        <v>48</v>
      </c>
      <c r="I372" s="12" t="str">
        <f t="shared" si="333"/>
        <v>S</v>
      </c>
      <c r="J372" s="12">
        <v>54</v>
      </c>
      <c r="K372" s="12" t="str">
        <f t="shared" si="334"/>
        <v>S</v>
      </c>
      <c r="L372" s="12">
        <v>32</v>
      </c>
      <c r="M372" s="12" t="str">
        <f t="shared" si="335"/>
        <v>F</v>
      </c>
      <c r="N372" s="12">
        <v>49</v>
      </c>
      <c r="O372" s="12" t="str">
        <f t="shared" si="336"/>
        <v>S</v>
      </c>
      <c r="P372" s="12">
        <v>43</v>
      </c>
      <c r="Q372" s="12" t="str">
        <f t="shared" si="337"/>
        <v>S</v>
      </c>
      <c r="R372" s="12">
        <f t="shared" si="345"/>
        <v>257</v>
      </c>
      <c r="S372" s="12" t="str">
        <f t="shared" si="338"/>
        <v>43%</v>
      </c>
      <c r="T372" s="12">
        <f t="shared" si="339"/>
        <v>0</v>
      </c>
      <c r="U372" s="12">
        <f t="shared" si="340"/>
        <v>0</v>
      </c>
      <c r="V372" s="12">
        <f t="shared" si="341"/>
        <v>4</v>
      </c>
      <c r="W372" s="12">
        <f t="shared" si="342"/>
        <v>1</v>
      </c>
      <c r="X372" s="12">
        <f t="shared" si="343"/>
        <v>0</v>
      </c>
      <c r="Y372" s="19"/>
      <c r="Z372" s="20" t="s">
        <v>6</v>
      </c>
      <c r="AA372" s="12" t="s">
        <v>831</v>
      </c>
      <c r="AB372" s="47"/>
    </row>
    <row r="373" spans="2:28" ht="27" customHeight="1">
      <c r="B373" s="9">
        <v>366</v>
      </c>
      <c r="C373" s="16" t="s">
        <v>832</v>
      </c>
      <c r="D373" s="18" t="s">
        <v>833</v>
      </c>
      <c r="E373" s="15" t="s">
        <v>834</v>
      </c>
      <c r="F373" s="12">
        <v>41</v>
      </c>
      <c r="G373" s="12" t="str">
        <f t="shared" si="332"/>
        <v>S</v>
      </c>
      <c r="H373" s="12">
        <v>46</v>
      </c>
      <c r="I373" s="12" t="str">
        <f t="shared" si="333"/>
        <v>S</v>
      </c>
      <c r="J373" s="12">
        <v>49</v>
      </c>
      <c r="K373" s="12" t="str">
        <f t="shared" si="334"/>
        <v>S</v>
      </c>
      <c r="L373" s="12">
        <v>32</v>
      </c>
      <c r="M373" s="12" t="str">
        <f t="shared" si="335"/>
        <v>F</v>
      </c>
      <c r="N373" s="12" t="s">
        <v>14</v>
      </c>
      <c r="O373" s="12" t="str">
        <f t="shared" si="336"/>
        <v>AB</v>
      </c>
      <c r="P373" s="12">
        <v>38</v>
      </c>
      <c r="Q373" s="12" t="str">
        <f t="shared" si="337"/>
        <v>S</v>
      </c>
      <c r="R373" s="12">
        <v>206</v>
      </c>
      <c r="S373" s="12" t="str">
        <f t="shared" si="338"/>
        <v>34%</v>
      </c>
      <c r="T373" s="12">
        <f t="shared" si="339"/>
        <v>0</v>
      </c>
      <c r="U373" s="12">
        <f t="shared" si="340"/>
        <v>0</v>
      </c>
      <c r="V373" s="12">
        <f t="shared" si="341"/>
        <v>3</v>
      </c>
      <c r="W373" s="12">
        <f t="shared" si="342"/>
        <v>1</v>
      </c>
      <c r="X373" s="12">
        <f t="shared" si="343"/>
        <v>1</v>
      </c>
      <c r="Y373" s="19"/>
      <c r="Z373" s="20" t="str">
        <f t="shared" si="344"/>
        <v>Not Completed</v>
      </c>
      <c r="AA373" s="12" t="s">
        <v>49</v>
      </c>
      <c r="AB373" s="47"/>
    </row>
    <row r="374" spans="2:28" ht="27" customHeight="1">
      <c r="B374" s="9">
        <v>367</v>
      </c>
      <c r="C374" s="16" t="s">
        <v>835</v>
      </c>
      <c r="D374" s="18">
        <v>197976902212</v>
      </c>
      <c r="E374" s="15" t="s">
        <v>836</v>
      </c>
      <c r="F374" s="12">
        <v>48</v>
      </c>
      <c r="G374" s="12" t="str">
        <f t="shared" si="332"/>
        <v>S</v>
      </c>
      <c r="H374" s="12">
        <v>46</v>
      </c>
      <c r="I374" s="12" t="str">
        <f t="shared" si="333"/>
        <v>S</v>
      </c>
      <c r="J374" s="12">
        <v>43</v>
      </c>
      <c r="K374" s="12" t="str">
        <f t="shared" si="334"/>
        <v>S</v>
      </c>
      <c r="L374" s="12">
        <v>35</v>
      </c>
      <c r="M374" s="12" t="str">
        <f t="shared" si="335"/>
        <v>S</v>
      </c>
      <c r="N374" s="12">
        <v>58</v>
      </c>
      <c r="O374" s="12" t="str">
        <f t="shared" si="336"/>
        <v>C</v>
      </c>
      <c r="P374" s="12">
        <v>50</v>
      </c>
      <c r="Q374" s="12" t="str">
        <f t="shared" si="337"/>
        <v>S</v>
      </c>
      <c r="R374" s="12">
        <f t="shared" si="345"/>
        <v>280</v>
      </c>
      <c r="S374" s="12" t="str">
        <f t="shared" si="338"/>
        <v>47%</v>
      </c>
      <c r="T374" s="12">
        <f t="shared" si="339"/>
        <v>0</v>
      </c>
      <c r="U374" s="12">
        <f t="shared" si="340"/>
        <v>1</v>
      </c>
      <c r="V374" s="12">
        <f t="shared" si="341"/>
        <v>4</v>
      </c>
      <c r="W374" s="12">
        <f t="shared" si="342"/>
        <v>0</v>
      </c>
      <c r="X374" s="12">
        <f t="shared" si="343"/>
        <v>0</v>
      </c>
      <c r="Y374" s="19"/>
      <c r="Z374" s="20" t="str">
        <f t="shared" si="344"/>
        <v>Ordinary Pass</v>
      </c>
      <c r="AA374" s="12"/>
      <c r="AB374" s="47"/>
    </row>
    <row r="375" spans="2:28" ht="27" customHeight="1">
      <c r="B375" s="9">
        <v>368</v>
      </c>
      <c r="C375" s="16" t="s">
        <v>837</v>
      </c>
      <c r="D375" s="18" t="s">
        <v>838</v>
      </c>
      <c r="E375" s="15" t="s">
        <v>839</v>
      </c>
      <c r="F375" s="12">
        <v>76</v>
      </c>
      <c r="G375" s="12" t="str">
        <f t="shared" si="332"/>
        <v>D</v>
      </c>
      <c r="H375" s="12">
        <v>80</v>
      </c>
      <c r="I375" s="12" t="str">
        <f t="shared" si="333"/>
        <v>D</v>
      </c>
      <c r="J375" s="12">
        <v>64</v>
      </c>
      <c r="K375" s="12" t="str">
        <f t="shared" si="334"/>
        <v>C</v>
      </c>
      <c r="L375" s="12">
        <v>61</v>
      </c>
      <c r="M375" s="12" t="str">
        <f t="shared" si="335"/>
        <v>C</v>
      </c>
      <c r="N375" s="12">
        <v>59</v>
      </c>
      <c r="O375" s="12" t="str">
        <f t="shared" si="336"/>
        <v>C</v>
      </c>
      <c r="P375" s="12">
        <v>58</v>
      </c>
      <c r="Q375" s="12" t="str">
        <f t="shared" si="337"/>
        <v>C</v>
      </c>
      <c r="R375" s="12">
        <f t="shared" si="345"/>
        <v>398</v>
      </c>
      <c r="S375" s="12" t="str">
        <f t="shared" si="338"/>
        <v>66%</v>
      </c>
      <c r="T375" s="12">
        <f t="shared" si="339"/>
        <v>2</v>
      </c>
      <c r="U375" s="12">
        <f t="shared" si="340"/>
        <v>4</v>
      </c>
      <c r="V375" s="12">
        <f t="shared" si="341"/>
        <v>0</v>
      </c>
      <c r="W375" s="12">
        <f t="shared" si="342"/>
        <v>0</v>
      </c>
      <c r="X375" s="12">
        <f t="shared" si="343"/>
        <v>0</v>
      </c>
      <c r="Y375" s="19"/>
      <c r="Z375" s="20" t="s">
        <v>10</v>
      </c>
      <c r="AA375" s="12"/>
      <c r="AB375" s="47"/>
    </row>
    <row r="376" spans="2:28" ht="27" customHeight="1">
      <c r="B376" s="9">
        <v>369</v>
      </c>
      <c r="C376" s="16" t="s">
        <v>840</v>
      </c>
      <c r="D376" s="18" t="s">
        <v>841</v>
      </c>
      <c r="E376" s="15" t="s">
        <v>842</v>
      </c>
      <c r="F376" s="12">
        <v>55</v>
      </c>
      <c r="G376" s="12" t="str">
        <f t="shared" si="332"/>
        <v>C</v>
      </c>
      <c r="H376" s="12">
        <v>64</v>
      </c>
      <c r="I376" s="12" t="str">
        <f t="shared" si="333"/>
        <v>C</v>
      </c>
      <c r="J376" s="12">
        <v>69</v>
      </c>
      <c r="K376" s="12" t="str">
        <f t="shared" si="334"/>
        <v>C</v>
      </c>
      <c r="L376" s="12">
        <v>66</v>
      </c>
      <c r="M376" s="12" t="str">
        <f t="shared" si="335"/>
        <v>C</v>
      </c>
      <c r="N376" s="12">
        <v>58</v>
      </c>
      <c r="O376" s="12" t="str">
        <f t="shared" si="336"/>
        <v>C</v>
      </c>
      <c r="P376" s="12">
        <v>60</v>
      </c>
      <c r="Q376" s="12" t="str">
        <f t="shared" si="337"/>
        <v>C</v>
      </c>
      <c r="R376" s="12">
        <f t="shared" si="345"/>
        <v>372</v>
      </c>
      <c r="S376" s="12" t="str">
        <f t="shared" si="338"/>
        <v>62%</v>
      </c>
      <c r="T376" s="12">
        <f t="shared" si="339"/>
        <v>0</v>
      </c>
      <c r="U376" s="12">
        <f t="shared" si="340"/>
        <v>6</v>
      </c>
      <c r="V376" s="12">
        <f t="shared" si="341"/>
        <v>0</v>
      </c>
      <c r="W376" s="12">
        <f t="shared" si="342"/>
        <v>0</v>
      </c>
      <c r="X376" s="12">
        <f t="shared" si="343"/>
        <v>0</v>
      </c>
      <c r="Y376" s="19"/>
      <c r="Z376" s="20" t="s">
        <v>784</v>
      </c>
      <c r="AA376" s="12"/>
      <c r="AB376" s="47"/>
    </row>
    <row r="377" spans="2:28" ht="27" customHeight="1">
      <c r="B377" s="9">
        <v>370</v>
      </c>
      <c r="C377" s="16" t="s">
        <v>843</v>
      </c>
      <c r="D377" s="18">
        <v>200160500259</v>
      </c>
      <c r="E377" s="15" t="s">
        <v>844</v>
      </c>
      <c r="F377" s="12">
        <v>51</v>
      </c>
      <c r="G377" s="12" t="str">
        <f t="shared" si="332"/>
        <v>S</v>
      </c>
      <c r="H377" s="12">
        <v>60</v>
      </c>
      <c r="I377" s="12" t="str">
        <f t="shared" si="333"/>
        <v>C</v>
      </c>
      <c r="J377" s="12">
        <v>59</v>
      </c>
      <c r="K377" s="12" t="str">
        <f t="shared" si="334"/>
        <v>C</v>
      </c>
      <c r="L377" s="12">
        <v>39</v>
      </c>
      <c r="M377" s="12" t="str">
        <f t="shared" si="335"/>
        <v>S</v>
      </c>
      <c r="N377" s="12">
        <v>52</v>
      </c>
      <c r="O377" s="12" t="str">
        <f t="shared" si="336"/>
        <v>S</v>
      </c>
      <c r="P377" s="12">
        <v>68</v>
      </c>
      <c r="Q377" s="12" t="str">
        <f t="shared" si="337"/>
        <v>C</v>
      </c>
      <c r="R377" s="12">
        <f t="shared" si="345"/>
        <v>329</v>
      </c>
      <c r="S377" s="12" t="str">
        <f t="shared" si="338"/>
        <v>55%</v>
      </c>
      <c r="T377" s="12">
        <f t="shared" si="339"/>
        <v>0</v>
      </c>
      <c r="U377" s="12">
        <f t="shared" si="340"/>
        <v>3</v>
      </c>
      <c r="V377" s="12">
        <f t="shared" si="341"/>
        <v>2</v>
      </c>
      <c r="W377" s="12">
        <f t="shared" si="342"/>
        <v>0</v>
      </c>
      <c r="X377" s="12">
        <f t="shared" si="343"/>
        <v>0</v>
      </c>
      <c r="Y377" s="19"/>
      <c r="Z377" s="20" t="str">
        <f t="shared" si="344"/>
        <v>Ordinary Pass</v>
      </c>
      <c r="AA377" s="12"/>
      <c r="AB377" s="47"/>
    </row>
    <row r="378" spans="2:28" ht="27" customHeight="1">
      <c r="B378" s="9">
        <v>371</v>
      </c>
      <c r="C378" s="16" t="s">
        <v>845</v>
      </c>
      <c r="D378" s="18">
        <v>200268603142</v>
      </c>
      <c r="E378" s="15" t="s">
        <v>846</v>
      </c>
      <c r="F378" s="12">
        <v>59</v>
      </c>
      <c r="G378" s="12" t="str">
        <f t="shared" si="332"/>
        <v>C</v>
      </c>
      <c r="H378" s="12">
        <v>53</v>
      </c>
      <c r="I378" s="12" t="str">
        <f t="shared" si="333"/>
        <v>S</v>
      </c>
      <c r="J378" s="12">
        <v>43</v>
      </c>
      <c r="K378" s="12" t="str">
        <f t="shared" si="334"/>
        <v>S</v>
      </c>
      <c r="L378" s="12">
        <v>43</v>
      </c>
      <c r="M378" s="12" t="str">
        <f t="shared" si="335"/>
        <v>S</v>
      </c>
      <c r="N378" s="12">
        <v>57</v>
      </c>
      <c r="O378" s="12" t="str">
        <f t="shared" si="336"/>
        <v>C</v>
      </c>
      <c r="P378" s="12">
        <v>58</v>
      </c>
      <c r="Q378" s="12" t="str">
        <f t="shared" si="337"/>
        <v>C</v>
      </c>
      <c r="R378" s="12">
        <f t="shared" si="345"/>
        <v>313</v>
      </c>
      <c r="S378" s="12" t="str">
        <f t="shared" si="338"/>
        <v>52%</v>
      </c>
      <c r="T378" s="12">
        <f t="shared" si="339"/>
        <v>0</v>
      </c>
      <c r="U378" s="12">
        <f t="shared" si="340"/>
        <v>3</v>
      </c>
      <c r="V378" s="12">
        <f t="shared" si="341"/>
        <v>3</v>
      </c>
      <c r="W378" s="12">
        <f t="shared" si="342"/>
        <v>0</v>
      </c>
      <c r="X378" s="12">
        <f t="shared" si="343"/>
        <v>0</v>
      </c>
      <c r="Y378" s="19"/>
      <c r="Z378" s="20" t="str">
        <f t="shared" si="344"/>
        <v>Ordinary Pass</v>
      </c>
      <c r="AA378" s="12"/>
      <c r="AB378" s="47"/>
    </row>
    <row r="379" spans="2:28" ht="27" customHeight="1">
      <c r="B379" s="9">
        <v>372</v>
      </c>
      <c r="C379" s="16" t="s">
        <v>847</v>
      </c>
      <c r="D379" s="18" t="s">
        <v>848</v>
      </c>
      <c r="E379" s="15" t="s">
        <v>849</v>
      </c>
      <c r="F379" s="12">
        <v>63</v>
      </c>
      <c r="G379" s="12" t="str">
        <f t="shared" si="332"/>
        <v>C</v>
      </c>
      <c r="H379" s="12">
        <v>67</v>
      </c>
      <c r="I379" s="12" t="str">
        <f t="shared" si="333"/>
        <v>C</v>
      </c>
      <c r="J379" s="12">
        <v>36</v>
      </c>
      <c r="K379" s="12" t="str">
        <f t="shared" si="334"/>
        <v>S</v>
      </c>
      <c r="L379" s="12">
        <v>45</v>
      </c>
      <c r="M379" s="12" t="str">
        <f t="shared" si="335"/>
        <v>S</v>
      </c>
      <c r="N379" s="12">
        <v>56</v>
      </c>
      <c r="O379" s="12" t="str">
        <f t="shared" si="336"/>
        <v>C</v>
      </c>
      <c r="P379" s="12">
        <v>67</v>
      </c>
      <c r="Q379" s="12" t="str">
        <f t="shared" si="337"/>
        <v>C</v>
      </c>
      <c r="R379" s="12">
        <f t="shared" si="345"/>
        <v>334</v>
      </c>
      <c r="S379" s="12" t="str">
        <f t="shared" si="338"/>
        <v>56%</v>
      </c>
      <c r="T379" s="12">
        <f t="shared" si="339"/>
        <v>0</v>
      </c>
      <c r="U379" s="12">
        <f t="shared" si="340"/>
        <v>4</v>
      </c>
      <c r="V379" s="12">
        <f t="shared" si="341"/>
        <v>2</v>
      </c>
      <c r="W379" s="12">
        <f t="shared" si="342"/>
        <v>0</v>
      </c>
      <c r="X379" s="12">
        <f t="shared" si="343"/>
        <v>0</v>
      </c>
      <c r="Y379" s="19"/>
      <c r="Z379" s="20" t="str">
        <f t="shared" si="344"/>
        <v>Ordinary Pass</v>
      </c>
      <c r="AA379" s="12"/>
      <c r="AB379" s="47"/>
    </row>
    <row r="380" spans="2:28" ht="27" customHeight="1">
      <c r="B380" s="9">
        <v>373</v>
      </c>
      <c r="C380" s="16" t="s">
        <v>850</v>
      </c>
      <c r="D380" s="18" t="s">
        <v>851</v>
      </c>
      <c r="E380" s="15" t="s">
        <v>852</v>
      </c>
      <c r="F380" s="12">
        <v>77</v>
      </c>
      <c r="G380" s="12" t="str">
        <f t="shared" si="332"/>
        <v>D</v>
      </c>
      <c r="H380" s="12">
        <v>85</v>
      </c>
      <c r="I380" s="12" t="str">
        <f t="shared" si="333"/>
        <v>D</v>
      </c>
      <c r="J380" s="12">
        <v>43</v>
      </c>
      <c r="K380" s="12" t="str">
        <f t="shared" si="334"/>
        <v>S</v>
      </c>
      <c r="L380" s="12">
        <v>53</v>
      </c>
      <c r="M380" s="12" t="str">
        <f t="shared" si="335"/>
        <v>S</v>
      </c>
      <c r="N380" s="12">
        <v>84</v>
      </c>
      <c r="O380" s="12" t="str">
        <f t="shared" si="336"/>
        <v>D</v>
      </c>
      <c r="P380" s="12">
        <v>83</v>
      </c>
      <c r="Q380" s="12" t="str">
        <f t="shared" si="337"/>
        <v>D</v>
      </c>
      <c r="R380" s="12">
        <f t="shared" si="345"/>
        <v>425</v>
      </c>
      <c r="S380" s="12" t="str">
        <f t="shared" si="338"/>
        <v>71%</v>
      </c>
      <c r="T380" s="12">
        <f t="shared" si="339"/>
        <v>4</v>
      </c>
      <c r="U380" s="12">
        <f t="shared" si="340"/>
        <v>0</v>
      </c>
      <c r="V380" s="12">
        <f t="shared" si="341"/>
        <v>2</v>
      </c>
      <c r="W380" s="12">
        <f t="shared" si="342"/>
        <v>0</v>
      </c>
      <c r="X380" s="12">
        <f t="shared" si="343"/>
        <v>0</v>
      </c>
      <c r="Y380" s="19"/>
      <c r="Z380" s="20" t="str">
        <f t="shared" si="344"/>
        <v>Ordinary Pass</v>
      </c>
      <c r="AA380" s="12"/>
      <c r="AB380" s="47"/>
    </row>
    <row r="381" spans="2:28" ht="27" customHeight="1">
      <c r="B381" s="9">
        <v>374</v>
      </c>
      <c r="C381" s="16" t="s">
        <v>853</v>
      </c>
      <c r="D381" s="18">
        <v>198376101660</v>
      </c>
      <c r="E381" s="15" t="s">
        <v>854</v>
      </c>
      <c r="F381" s="12">
        <v>50</v>
      </c>
      <c r="G381" s="12" t="str">
        <f t="shared" si="332"/>
        <v>S</v>
      </c>
      <c r="H381" s="12">
        <v>63</v>
      </c>
      <c r="I381" s="12" t="str">
        <f t="shared" si="333"/>
        <v>C</v>
      </c>
      <c r="J381" s="12">
        <v>68</v>
      </c>
      <c r="K381" s="12" t="str">
        <f t="shared" si="334"/>
        <v>C</v>
      </c>
      <c r="L381" s="12">
        <v>45</v>
      </c>
      <c r="M381" s="12" t="str">
        <f t="shared" si="335"/>
        <v>S</v>
      </c>
      <c r="N381" s="12">
        <v>66</v>
      </c>
      <c r="O381" s="12" t="str">
        <f t="shared" si="336"/>
        <v>C</v>
      </c>
      <c r="P381" s="12">
        <v>54</v>
      </c>
      <c r="Q381" s="12" t="str">
        <f t="shared" si="337"/>
        <v>S</v>
      </c>
      <c r="R381" s="12">
        <f t="shared" si="345"/>
        <v>346</v>
      </c>
      <c r="S381" s="12" t="str">
        <f t="shared" si="338"/>
        <v>58%</v>
      </c>
      <c r="T381" s="12">
        <f t="shared" si="339"/>
        <v>0</v>
      </c>
      <c r="U381" s="12">
        <f t="shared" si="340"/>
        <v>3</v>
      </c>
      <c r="V381" s="12">
        <f t="shared" si="341"/>
        <v>2</v>
      </c>
      <c r="W381" s="12">
        <f t="shared" si="342"/>
        <v>0</v>
      </c>
      <c r="X381" s="12">
        <f t="shared" si="343"/>
        <v>0</v>
      </c>
      <c r="Y381" s="19"/>
      <c r="Z381" s="20" t="str">
        <f t="shared" si="344"/>
        <v>Ordinary Pass</v>
      </c>
      <c r="AA381" s="12"/>
      <c r="AB381" s="47"/>
    </row>
    <row r="382" spans="2:28" ht="27" customHeight="1">
      <c r="B382" s="9">
        <v>375</v>
      </c>
      <c r="C382" s="16" t="s">
        <v>855</v>
      </c>
      <c r="D382" s="18" t="s">
        <v>856</v>
      </c>
      <c r="E382" s="15" t="s">
        <v>857</v>
      </c>
      <c r="F382" s="12">
        <v>53</v>
      </c>
      <c r="G382" s="12" t="str">
        <f t="shared" si="332"/>
        <v>S</v>
      </c>
      <c r="H382" s="12">
        <v>62</v>
      </c>
      <c r="I382" s="12" t="str">
        <f t="shared" si="333"/>
        <v>C</v>
      </c>
      <c r="J382" s="12">
        <v>43</v>
      </c>
      <c r="K382" s="12" t="str">
        <f t="shared" si="334"/>
        <v>S</v>
      </c>
      <c r="L382" s="12">
        <v>47</v>
      </c>
      <c r="M382" s="12" t="str">
        <f t="shared" si="335"/>
        <v>S</v>
      </c>
      <c r="N382" s="12">
        <v>55</v>
      </c>
      <c r="O382" s="12" t="str">
        <f t="shared" si="336"/>
        <v>C</v>
      </c>
      <c r="P382" s="12">
        <v>54</v>
      </c>
      <c r="Q382" s="12" t="str">
        <f t="shared" si="337"/>
        <v>S</v>
      </c>
      <c r="R382" s="12">
        <v>271</v>
      </c>
      <c r="S382" s="12" t="str">
        <f t="shared" si="338"/>
        <v>45%</v>
      </c>
      <c r="T382" s="12">
        <f t="shared" si="339"/>
        <v>0</v>
      </c>
      <c r="U382" s="12">
        <f t="shared" si="340"/>
        <v>2</v>
      </c>
      <c r="V382" s="12">
        <f t="shared" si="341"/>
        <v>3</v>
      </c>
      <c r="W382" s="12">
        <f t="shared" si="342"/>
        <v>0</v>
      </c>
      <c r="X382" s="12">
        <f t="shared" si="343"/>
        <v>0</v>
      </c>
      <c r="Y382" s="19"/>
      <c r="Z382" s="20" t="str">
        <f t="shared" si="344"/>
        <v>Ordinary Pass</v>
      </c>
      <c r="AA382" s="12"/>
      <c r="AB382" s="47"/>
    </row>
    <row r="383" spans="2:28" ht="27" customHeight="1">
      <c r="B383" s="9">
        <v>376</v>
      </c>
      <c r="C383" s="16" t="s">
        <v>858</v>
      </c>
      <c r="D383" s="18">
        <v>197800301204</v>
      </c>
      <c r="E383" s="15" t="s">
        <v>859</v>
      </c>
      <c r="F383" s="12">
        <v>28</v>
      </c>
      <c r="G383" s="12" t="str">
        <f t="shared" si="332"/>
        <v>F</v>
      </c>
      <c r="H383" s="12">
        <v>43</v>
      </c>
      <c r="I383" s="12" t="str">
        <f t="shared" si="333"/>
        <v>S</v>
      </c>
      <c r="J383" s="12">
        <v>36</v>
      </c>
      <c r="K383" s="12" t="str">
        <f t="shared" si="334"/>
        <v>S</v>
      </c>
      <c r="L383" s="12">
        <v>44</v>
      </c>
      <c r="M383" s="12" t="str">
        <f t="shared" si="335"/>
        <v>S</v>
      </c>
      <c r="N383" s="12">
        <v>38</v>
      </c>
      <c r="O383" s="12" t="str">
        <f t="shared" si="336"/>
        <v>S</v>
      </c>
      <c r="P383" s="12">
        <v>58</v>
      </c>
      <c r="Q383" s="12" t="str">
        <f t="shared" si="337"/>
        <v>C</v>
      </c>
      <c r="R383" s="12">
        <f t="shared" si="345"/>
        <v>247</v>
      </c>
      <c r="S383" s="12" t="str">
        <f t="shared" si="338"/>
        <v>41%</v>
      </c>
      <c r="T383" s="12">
        <f t="shared" si="339"/>
        <v>0</v>
      </c>
      <c r="U383" s="12">
        <f t="shared" si="340"/>
        <v>1</v>
      </c>
      <c r="V383" s="12">
        <f t="shared" si="341"/>
        <v>4</v>
      </c>
      <c r="W383" s="12">
        <f t="shared" si="342"/>
        <v>0</v>
      </c>
      <c r="X383" s="12">
        <f t="shared" si="343"/>
        <v>0</v>
      </c>
      <c r="Y383" s="19"/>
      <c r="Z383" s="20" t="s">
        <v>6</v>
      </c>
      <c r="AA383" s="12" t="s">
        <v>143</v>
      </c>
      <c r="AB383" s="47"/>
    </row>
    <row r="384" spans="2:28" ht="27" customHeight="1">
      <c r="B384" s="9">
        <v>377</v>
      </c>
      <c r="C384" s="16" t="s">
        <v>860</v>
      </c>
      <c r="D384" s="18">
        <v>198873402067</v>
      </c>
      <c r="E384" s="15" t="s">
        <v>861</v>
      </c>
      <c r="F384" s="12">
        <v>35</v>
      </c>
      <c r="G384" s="12" t="str">
        <f t="shared" si="332"/>
        <v>S</v>
      </c>
      <c r="H384" s="12">
        <v>47</v>
      </c>
      <c r="I384" s="12" t="str">
        <f t="shared" si="333"/>
        <v>S</v>
      </c>
      <c r="J384" s="12">
        <v>43</v>
      </c>
      <c r="K384" s="12" t="str">
        <f t="shared" si="334"/>
        <v>S</v>
      </c>
      <c r="L384" s="12">
        <v>45</v>
      </c>
      <c r="M384" s="12" t="str">
        <f t="shared" si="335"/>
        <v>S</v>
      </c>
      <c r="N384" s="12">
        <v>35</v>
      </c>
      <c r="O384" s="12" t="str">
        <f t="shared" si="336"/>
        <v>S</v>
      </c>
      <c r="P384" s="12">
        <v>55</v>
      </c>
      <c r="Q384" s="12" t="str">
        <f t="shared" si="337"/>
        <v>C</v>
      </c>
      <c r="R384" s="12">
        <f t="shared" si="345"/>
        <v>260</v>
      </c>
      <c r="S384" s="12" t="str">
        <f t="shared" si="338"/>
        <v>43%</v>
      </c>
      <c r="T384" s="12">
        <f t="shared" si="339"/>
        <v>0</v>
      </c>
      <c r="U384" s="12">
        <f t="shared" si="340"/>
        <v>1</v>
      </c>
      <c r="V384" s="12">
        <f t="shared" si="341"/>
        <v>4</v>
      </c>
      <c r="W384" s="12">
        <f t="shared" si="342"/>
        <v>0</v>
      </c>
      <c r="X384" s="12">
        <f t="shared" si="343"/>
        <v>0</v>
      </c>
      <c r="Y384" s="19"/>
      <c r="Z384" s="20" t="s">
        <v>9</v>
      </c>
      <c r="AA384" s="12"/>
      <c r="AB384" s="47"/>
    </row>
    <row r="385" spans="2:28" ht="27" customHeight="1">
      <c r="B385" s="9">
        <v>378</v>
      </c>
      <c r="C385" s="16" t="s">
        <v>862</v>
      </c>
      <c r="D385" s="18" t="s">
        <v>863</v>
      </c>
      <c r="E385" s="15" t="s">
        <v>864</v>
      </c>
      <c r="F385" s="12">
        <v>55</v>
      </c>
      <c r="G385" s="12" t="str">
        <f t="shared" si="332"/>
        <v>C</v>
      </c>
      <c r="H385" s="12">
        <v>83</v>
      </c>
      <c r="I385" s="12" t="str">
        <f t="shared" si="333"/>
        <v>D</v>
      </c>
      <c r="J385" s="12">
        <v>68</v>
      </c>
      <c r="K385" s="12" t="str">
        <f t="shared" si="334"/>
        <v>C</v>
      </c>
      <c r="L385" s="12">
        <v>76</v>
      </c>
      <c r="M385" s="12" t="str">
        <f t="shared" si="335"/>
        <v>D</v>
      </c>
      <c r="N385" s="12">
        <v>78</v>
      </c>
      <c r="O385" s="12" t="str">
        <f t="shared" si="336"/>
        <v>D</v>
      </c>
      <c r="P385" s="12">
        <v>76</v>
      </c>
      <c r="Q385" s="12" t="str">
        <f t="shared" si="337"/>
        <v>D</v>
      </c>
      <c r="R385" s="12">
        <f t="shared" si="345"/>
        <v>436</v>
      </c>
      <c r="S385" s="12" t="str">
        <f t="shared" si="338"/>
        <v>73%</v>
      </c>
      <c r="T385" s="12">
        <f t="shared" si="339"/>
        <v>4</v>
      </c>
      <c r="U385" s="12">
        <f t="shared" si="340"/>
        <v>2</v>
      </c>
      <c r="V385" s="12">
        <f t="shared" si="341"/>
        <v>0</v>
      </c>
      <c r="W385" s="12">
        <f t="shared" si="342"/>
        <v>0</v>
      </c>
      <c r="X385" s="12">
        <f t="shared" si="343"/>
        <v>0</v>
      </c>
      <c r="Y385" s="19"/>
      <c r="Z385" s="20" t="s">
        <v>10</v>
      </c>
      <c r="AA385" s="12"/>
      <c r="AB385" s="47"/>
    </row>
    <row r="386" spans="2:28" ht="27" customHeight="1">
      <c r="B386" s="9">
        <v>379</v>
      </c>
      <c r="C386" s="16" t="s">
        <v>865</v>
      </c>
      <c r="D386" s="18" t="s">
        <v>866</v>
      </c>
      <c r="E386" s="15" t="s">
        <v>867</v>
      </c>
      <c r="F386" s="12" t="s">
        <v>14</v>
      </c>
      <c r="G386" s="12" t="str">
        <f t="shared" si="332"/>
        <v>AB</v>
      </c>
      <c r="H386" s="12" t="s">
        <v>14</v>
      </c>
      <c r="I386" s="12" t="str">
        <f t="shared" si="333"/>
        <v>AB</v>
      </c>
      <c r="J386" s="12" t="s">
        <v>14</v>
      </c>
      <c r="K386" s="12" t="str">
        <f t="shared" si="334"/>
        <v>AB</v>
      </c>
      <c r="L386" s="12" t="s">
        <v>14</v>
      </c>
      <c r="M386" s="12" t="str">
        <f t="shared" si="335"/>
        <v>AB</v>
      </c>
      <c r="N386" s="12" t="s">
        <v>14</v>
      </c>
      <c r="O386" s="12" t="str">
        <f t="shared" si="336"/>
        <v>AB</v>
      </c>
      <c r="P386" s="12" t="s">
        <v>14</v>
      </c>
      <c r="Q386" s="12" t="str">
        <f t="shared" si="337"/>
        <v>AB</v>
      </c>
      <c r="R386" s="12">
        <v>0</v>
      </c>
      <c r="S386" s="12" t="str">
        <f t="shared" si="338"/>
        <v>0%</v>
      </c>
      <c r="T386" s="12">
        <f t="shared" si="339"/>
        <v>0</v>
      </c>
      <c r="U386" s="12">
        <f t="shared" si="340"/>
        <v>0</v>
      </c>
      <c r="V386" s="12">
        <f t="shared" si="341"/>
        <v>0</v>
      </c>
      <c r="W386" s="12">
        <f t="shared" si="342"/>
        <v>0</v>
      </c>
      <c r="X386" s="12">
        <f t="shared" si="343"/>
        <v>6</v>
      </c>
      <c r="Y386" s="19"/>
      <c r="Z386" s="20" t="s">
        <v>7</v>
      </c>
      <c r="AA386" s="12"/>
      <c r="AB386" s="47"/>
    </row>
    <row r="387" spans="2:28" ht="27" customHeight="1">
      <c r="B387" s="9">
        <v>380</v>
      </c>
      <c r="C387" s="16" t="s">
        <v>868</v>
      </c>
      <c r="D387" s="18" t="s">
        <v>869</v>
      </c>
      <c r="E387" s="15" t="s">
        <v>870</v>
      </c>
      <c r="F387" s="12">
        <v>35</v>
      </c>
      <c r="G387" s="12" t="str">
        <f t="shared" si="332"/>
        <v>S</v>
      </c>
      <c r="H387" s="12">
        <v>41</v>
      </c>
      <c r="I387" s="12" t="str">
        <f t="shared" si="333"/>
        <v>S</v>
      </c>
      <c r="J387" s="12">
        <v>39</v>
      </c>
      <c r="K387" s="12" t="str">
        <f t="shared" si="334"/>
        <v>S</v>
      </c>
      <c r="L387" s="12">
        <v>53</v>
      </c>
      <c r="M387" s="12" t="str">
        <f t="shared" si="335"/>
        <v>S</v>
      </c>
      <c r="N387" s="12">
        <v>43</v>
      </c>
      <c r="O387" s="12" t="str">
        <f t="shared" si="336"/>
        <v>S</v>
      </c>
      <c r="P387" s="12">
        <v>60</v>
      </c>
      <c r="Q387" s="12" t="str">
        <f t="shared" si="337"/>
        <v>C</v>
      </c>
      <c r="R387" s="12">
        <f t="shared" ref="R387" si="346">SUM(F387+H387+J387+L387+N387+P387)</f>
        <v>271</v>
      </c>
      <c r="S387" s="12" t="str">
        <f t="shared" si="338"/>
        <v>45%</v>
      </c>
      <c r="T387" s="12">
        <f t="shared" si="339"/>
        <v>0</v>
      </c>
      <c r="U387" s="12">
        <f t="shared" si="340"/>
        <v>1</v>
      </c>
      <c r="V387" s="12">
        <f t="shared" si="341"/>
        <v>4</v>
      </c>
      <c r="W387" s="12">
        <f t="shared" si="342"/>
        <v>0</v>
      </c>
      <c r="X387" s="12">
        <f t="shared" si="343"/>
        <v>0</v>
      </c>
      <c r="Y387" s="19"/>
      <c r="Z387" s="20" t="str">
        <f t="shared" ref="Z387" si="347">IF(X387&gt;0, "Not Completed",
   IF(T387=10, "First Class",
      IF(S387&gt;75, IF(V387&gt;0, "Ordinary Pass", "First Class"),
         IF(S387&gt;65, IF(V387&gt;0, "Ordinary Pass", "Second Class"), "none")
      )
   )
)</f>
        <v>Ordinary Pass</v>
      </c>
      <c r="AA387" s="12"/>
      <c r="AB387" s="47"/>
    </row>
    <row r="388" spans="2:28" ht="27" customHeight="1">
      <c r="B388" s="9">
        <v>381</v>
      </c>
      <c r="C388" s="16" t="s">
        <v>871</v>
      </c>
      <c r="D388" s="18" t="s">
        <v>872</v>
      </c>
      <c r="E388" s="15" t="s">
        <v>873</v>
      </c>
      <c r="F388" s="12">
        <v>53</v>
      </c>
      <c r="G388" s="12" t="str">
        <f t="shared" ref="G388:G407" si="348">IF(F388="-", "AB", IF(F388&gt;=75, "D", IF(F388&gt;=55, "C", IF(F388&gt;=35, "S", IF(F388&gt;=0, "F")))))</f>
        <v>S</v>
      </c>
      <c r="H388" s="12">
        <v>47</v>
      </c>
      <c r="I388" s="12" t="str">
        <f t="shared" ref="I388:I407" si="349">IF(H388="-", "AB", IF(H388&gt;=75, "D", IF(H388&gt;=55, "C", IF(H388&gt;=35, "S", IF(H388&gt;=0, "F")))))</f>
        <v>S</v>
      </c>
      <c r="J388" s="12">
        <v>42</v>
      </c>
      <c r="K388" s="12" t="str">
        <f t="shared" ref="K388:K407" si="350">IF(J388="-", "AB", IF(J388&gt;=75, "D", IF(J388&gt;=55, "C", IF(J388&gt;=35, "S", IF(J388&gt;=0, "F")))))</f>
        <v>S</v>
      </c>
      <c r="L388" s="12">
        <v>53</v>
      </c>
      <c r="M388" s="12" t="str">
        <f t="shared" ref="M388:M407" si="351">IF(L388="-", "AB", IF(L388&gt;=75, "D", IF(L388&gt;=55, "C", IF(L388&gt;=35, "S", IF(L388&gt;=0, "F")))))</f>
        <v>S</v>
      </c>
      <c r="N388" s="12">
        <v>51</v>
      </c>
      <c r="O388" s="12" t="str">
        <f t="shared" ref="O388:O407" si="352">IF(N388="-", "AB", IF(N388&gt;=75, "D", IF(N388&gt;=55, "C", IF(N388&gt;=35, "S", IF(N388&gt;=0, "F")))))</f>
        <v>S</v>
      </c>
      <c r="P388" s="12">
        <v>48</v>
      </c>
      <c r="Q388" s="12" t="str">
        <f t="shared" ref="Q388:Q407" si="353">IF(P388="-", "AB", IF(P388&gt;=75, "D", IF(P388&gt;=55, "C", IF(P388&gt;=35, "S", IF(P388&gt;=0, "F")))))</f>
        <v>S</v>
      </c>
      <c r="R388" s="12">
        <f t="shared" ref="R388:R407" si="354">SUM(F388+H388+J388+L388+N388+P388)</f>
        <v>294</v>
      </c>
      <c r="S388" s="12" t="str">
        <f t="shared" ref="S388:S407" si="355">ROUND(R388/6, 0)&amp;"%"</f>
        <v>49%</v>
      </c>
      <c r="T388" s="12">
        <f t="shared" ref="T388:T407" si="356">COUNTIF(F388:Q388, "D")</f>
        <v>0</v>
      </c>
      <c r="U388" s="12">
        <f t="shared" ref="U388:U407" si="357">COUNTIF(G388:T388, "C")</f>
        <v>0</v>
      </c>
      <c r="V388" s="12">
        <f t="shared" ref="V388:V407" si="358">COUNTIF(H388:U388, "S")</f>
        <v>5</v>
      </c>
      <c r="W388" s="12">
        <f t="shared" ref="W388:W407" si="359">COUNTIF(I388:V388, "F")</f>
        <v>0</v>
      </c>
      <c r="X388" s="12">
        <f t="shared" ref="X388:X407" si="360">COUNTIF(F388:W388, "-")</f>
        <v>0</v>
      </c>
      <c r="Y388" s="19"/>
      <c r="Z388" s="20" t="str">
        <f t="shared" ref="Z388:Z404" si="361">IF(X388&gt;0, "Not Completed",
   IF(T388=10, "First Class",
      IF(S388&gt;75, IF(V388&gt;0, "Ordinary Pass", "First Class"),
         IF(S388&gt;65, IF(V388&gt;0, "Ordinary Pass", "Second Class"), "none")
      )
   )
)</f>
        <v>Ordinary Pass</v>
      </c>
      <c r="AA388" s="12"/>
      <c r="AB388" s="47"/>
    </row>
    <row r="389" spans="2:28" ht="27" customHeight="1">
      <c r="B389" s="9">
        <v>382</v>
      </c>
      <c r="C389" s="16" t="s">
        <v>874</v>
      </c>
      <c r="D389" s="18" t="s">
        <v>875</v>
      </c>
      <c r="E389" s="15" t="s">
        <v>876</v>
      </c>
      <c r="F389" s="12">
        <v>65</v>
      </c>
      <c r="G389" s="12" t="str">
        <f t="shared" si="348"/>
        <v>C</v>
      </c>
      <c r="H389" s="12">
        <v>60</v>
      </c>
      <c r="I389" s="12" t="str">
        <f t="shared" si="349"/>
        <v>C</v>
      </c>
      <c r="J389" s="12">
        <v>35</v>
      </c>
      <c r="K389" s="12" t="str">
        <f t="shared" si="350"/>
        <v>S</v>
      </c>
      <c r="L389" s="12">
        <v>68</v>
      </c>
      <c r="M389" s="12" t="str">
        <f t="shared" si="351"/>
        <v>C</v>
      </c>
      <c r="N389" s="12">
        <v>44</v>
      </c>
      <c r="O389" s="12" t="str">
        <f t="shared" si="352"/>
        <v>S</v>
      </c>
      <c r="P389" s="12">
        <v>63</v>
      </c>
      <c r="Q389" s="12" t="str">
        <f t="shared" si="353"/>
        <v>C</v>
      </c>
      <c r="R389" s="12">
        <f t="shared" si="354"/>
        <v>335</v>
      </c>
      <c r="S389" s="12" t="str">
        <f t="shared" si="355"/>
        <v>56%</v>
      </c>
      <c r="T389" s="12">
        <f t="shared" si="356"/>
        <v>0</v>
      </c>
      <c r="U389" s="12">
        <f t="shared" si="357"/>
        <v>4</v>
      </c>
      <c r="V389" s="12">
        <f t="shared" si="358"/>
        <v>2</v>
      </c>
      <c r="W389" s="12">
        <f t="shared" si="359"/>
        <v>0</v>
      </c>
      <c r="X389" s="12">
        <f t="shared" si="360"/>
        <v>0</v>
      </c>
      <c r="Y389" s="19"/>
      <c r="Z389" s="20" t="str">
        <f t="shared" si="361"/>
        <v>Ordinary Pass</v>
      </c>
      <c r="AA389" s="12"/>
      <c r="AB389" s="47"/>
    </row>
    <row r="390" spans="2:28" ht="27" customHeight="1">
      <c r="B390" s="9">
        <v>383</v>
      </c>
      <c r="C390" s="16" t="s">
        <v>877</v>
      </c>
      <c r="D390" s="18">
        <v>199880710206</v>
      </c>
      <c r="E390" s="15" t="s">
        <v>878</v>
      </c>
      <c r="F390" s="12" t="s">
        <v>14</v>
      </c>
      <c r="G390" s="12" t="str">
        <f t="shared" si="348"/>
        <v>AB</v>
      </c>
      <c r="H390" s="12" t="s">
        <v>14</v>
      </c>
      <c r="I390" s="12" t="str">
        <f t="shared" si="349"/>
        <v>AB</v>
      </c>
      <c r="J390" s="12" t="s">
        <v>14</v>
      </c>
      <c r="K390" s="12" t="str">
        <f t="shared" si="350"/>
        <v>AB</v>
      </c>
      <c r="L390" s="12" t="s">
        <v>14</v>
      </c>
      <c r="M390" s="12" t="str">
        <f t="shared" si="351"/>
        <v>AB</v>
      </c>
      <c r="N390" s="12" t="s">
        <v>14</v>
      </c>
      <c r="O390" s="12" t="str">
        <f t="shared" si="352"/>
        <v>AB</v>
      </c>
      <c r="P390" s="12" t="s">
        <v>14</v>
      </c>
      <c r="Q390" s="12" t="str">
        <f t="shared" si="353"/>
        <v>AB</v>
      </c>
      <c r="R390" s="12">
        <v>0</v>
      </c>
      <c r="S390" s="12" t="str">
        <f t="shared" si="355"/>
        <v>0%</v>
      </c>
      <c r="T390" s="12">
        <f t="shared" si="356"/>
        <v>0</v>
      </c>
      <c r="U390" s="12">
        <f t="shared" si="357"/>
        <v>0</v>
      </c>
      <c r="V390" s="12">
        <f t="shared" si="358"/>
        <v>0</v>
      </c>
      <c r="W390" s="12">
        <f t="shared" si="359"/>
        <v>0</v>
      </c>
      <c r="X390" s="12">
        <f t="shared" si="360"/>
        <v>6</v>
      </c>
      <c r="Y390" s="19"/>
      <c r="Z390" s="20" t="s">
        <v>7</v>
      </c>
      <c r="AA390" s="12"/>
      <c r="AB390" s="47"/>
    </row>
    <row r="391" spans="2:28" ht="27" customHeight="1">
      <c r="B391" s="9">
        <v>384</v>
      </c>
      <c r="C391" s="16" t="s">
        <v>879</v>
      </c>
      <c r="D391" s="18">
        <v>200383512006</v>
      </c>
      <c r="E391" s="15" t="s">
        <v>880</v>
      </c>
      <c r="F391" s="12">
        <v>37</v>
      </c>
      <c r="G391" s="12" t="str">
        <f t="shared" si="348"/>
        <v>S</v>
      </c>
      <c r="H391" s="12">
        <v>52</v>
      </c>
      <c r="I391" s="12" t="str">
        <f t="shared" si="349"/>
        <v>S</v>
      </c>
      <c r="J391" s="12">
        <v>56</v>
      </c>
      <c r="K391" s="12" t="str">
        <f t="shared" si="350"/>
        <v>C</v>
      </c>
      <c r="L391" s="12">
        <v>52</v>
      </c>
      <c r="M391" s="12" t="str">
        <f t="shared" si="351"/>
        <v>S</v>
      </c>
      <c r="N391" s="12">
        <v>46</v>
      </c>
      <c r="O391" s="12" t="str">
        <f t="shared" si="352"/>
        <v>S</v>
      </c>
      <c r="P391" s="12">
        <v>68</v>
      </c>
      <c r="Q391" s="12" t="str">
        <f t="shared" si="353"/>
        <v>C</v>
      </c>
      <c r="R391" s="12">
        <f t="shared" si="354"/>
        <v>311</v>
      </c>
      <c r="S391" s="12" t="str">
        <f t="shared" si="355"/>
        <v>52%</v>
      </c>
      <c r="T391" s="12">
        <f t="shared" si="356"/>
        <v>0</v>
      </c>
      <c r="U391" s="12">
        <f t="shared" si="357"/>
        <v>2</v>
      </c>
      <c r="V391" s="12">
        <f t="shared" si="358"/>
        <v>3</v>
      </c>
      <c r="W391" s="12">
        <f t="shared" si="359"/>
        <v>0</v>
      </c>
      <c r="X391" s="12">
        <f t="shared" si="360"/>
        <v>0</v>
      </c>
      <c r="Y391" s="19"/>
      <c r="Z391" s="20" t="str">
        <f t="shared" si="361"/>
        <v>Ordinary Pass</v>
      </c>
      <c r="AA391" s="12"/>
      <c r="AB391" s="47"/>
    </row>
    <row r="392" spans="2:28" ht="27" customHeight="1">
      <c r="B392" s="9">
        <v>385</v>
      </c>
      <c r="C392" s="16" t="s">
        <v>881</v>
      </c>
      <c r="D392" s="18">
        <v>200371612017</v>
      </c>
      <c r="E392" s="15" t="s">
        <v>882</v>
      </c>
      <c r="F392" s="12">
        <v>47</v>
      </c>
      <c r="G392" s="12" t="str">
        <f t="shared" si="348"/>
        <v>S</v>
      </c>
      <c r="H392" s="12">
        <v>61</v>
      </c>
      <c r="I392" s="12" t="str">
        <f t="shared" si="349"/>
        <v>C</v>
      </c>
      <c r="J392" s="12">
        <v>44</v>
      </c>
      <c r="K392" s="12" t="str">
        <f t="shared" si="350"/>
        <v>S</v>
      </c>
      <c r="L392" s="12">
        <v>52</v>
      </c>
      <c r="M392" s="12" t="str">
        <f t="shared" si="351"/>
        <v>S</v>
      </c>
      <c r="N392" s="12">
        <v>62</v>
      </c>
      <c r="O392" s="12" t="str">
        <f t="shared" si="352"/>
        <v>C</v>
      </c>
      <c r="P392" s="12">
        <v>85</v>
      </c>
      <c r="Q392" s="12" t="str">
        <f t="shared" si="353"/>
        <v>D</v>
      </c>
      <c r="R392" s="12">
        <f t="shared" si="354"/>
        <v>351</v>
      </c>
      <c r="S392" s="12" t="str">
        <f t="shared" si="355"/>
        <v>59%</v>
      </c>
      <c r="T392" s="12">
        <f t="shared" si="356"/>
        <v>1</v>
      </c>
      <c r="U392" s="12">
        <f t="shared" si="357"/>
        <v>2</v>
      </c>
      <c r="V392" s="12">
        <f t="shared" si="358"/>
        <v>2</v>
      </c>
      <c r="W392" s="12">
        <f t="shared" si="359"/>
        <v>0</v>
      </c>
      <c r="X392" s="12">
        <f t="shared" si="360"/>
        <v>0</v>
      </c>
      <c r="Y392" s="19"/>
      <c r="Z392" s="20" t="str">
        <f t="shared" si="361"/>
        <v>Ordinary Pass</v>
      </c>
      <c r="AA392" s="12"/>
      <c r="AB392" s="47"/>
    </row>
    <row r="393" spans="2:28" ht="27" customHeight="1">
      <c r="B393" s="9">
        <v>386</v>
      </c>
      <c r="C393" s="16" t="s">
        <v>883</v>
      </c>
      <c r="D393" s="18">
        <v>200084004360</v>
      </c>
      <c r="E393" s="15" t="s">
        <v>884</v>
      </c>
      <c r="F393" s="12">
        <v>62</v>
      </c>
      <c r="G393" s="12" t="str">
        <f t="shared" si="348"/>
        <v>C</v>
      </c>
      <c r="H393" s="12">
        <v>76</v>
      </c>
      <c r="I393" s="12" t="str">
        <f t="shared" si="349"/>
        <v>D</v>
      </c>
      <c r="J393" s="12">
        <v>68</v>
      </c>
      <c r="K393" s="12" t="str">
        <f t="shared" si="350"/>
        <v>C</v>
      </c>
      <c r="L393" s="12">
        <v>58</v>
      </c>
      <c r="M393" s="12" t="str">
        <f t="shared" si="351"/>
        <v>C</v>
      </c>
      <c r="N393" s="12">
        <v>71</v>
      </c>
      <c r="O393" s="12" t="str">
        <f t="shared" si="352"/>
        <v>C</v>
      </c>
      <c r="P393" s="12">
        <v>75</v>
      </c>
      <c r="Q393" s="12" t="str">
        <f t="shared" si="353"/>
        <v>D</v>
      </c>
      <c r="R393" s="12">
        <f t="shared" si="354"/>
        <v>410</v>
      </c>
      <c r="S393" s="12" t="str">
        <f t="shared" si="355"/>
        <v>68%</v>
      </c>
      <c r="T393" s="12">
        <f t="shared" si="356"/>
        <v>2</v>
      </c>
      <c r="U393" s="12">
        <f t="shared" si="357"/>
        <v>4</v>
      </c>
      <c r="V393" s="12">
        <f t="shared" si="358"/>
        <v>0</v>
      </c>
      <c r="W393" s="12">
        <f t="shared" si="359"/>
        <v>0</v>
      </c>
      <c r="X393" s="12">
        <f t="shared" si="360"/>
        <v>0</v>
      </c>
      <c r="Y393" s="19"/>
      <c r="Z393" s="20" t="s">
        <v>10</v>
      </c>
      <c r="AA393" s="12"/>
      <c r="AB393" s="47"/>
    </row>
    <row r="394" spans="2:28" ht="27" customHeight="1">
      <c r="B394" s="9">
        <v>387</v>
      </c>
      <c r="C394" s="16" t="s">
        <v>885</v>
      </c>
      <c r="D394" s="18">
        <v>200063400283</v>
      </c>
      <c r="E394" s="15" t="s">
        <v>886</v>
      </c>
      <c r="F394" s="12">
        <v>39</v>
      </c>
      <c r="G394" s="12" t="str">
        <f t="shared" si="348"/>
        <v>S</v>
      </c>
      <c r="H394" s="12">
        <v>56</v>
      </c>
      <c r="I394" s="12" t="str">
        <f t="shared" si="349"/>
        <v>C</v>
      </c>
      <c r="J394" s="12">
        <v>62</v>
      </c>
      <c r="K394" s="12" t="str">
        <f t="shared" si="350"/>
        <v>C</v>
      </c>
      <c r="L394" s="12">
        <v>35</v>
      </c>
      <c r="M394" s="12" t="str">
        <f t="shared" si="351"/>
        <v>S</v>
      </c>
      <c r="N394" s="12">
        <v>36</v>
      </c>
      <c r="O394" s="12" t="str">
        <f t="shared" si="352"/>
        <v>S</v>
      </c>
      <c r="P394" s="12">
        <v>68</v>
      </c>
      <c r="Q394" s="12" t="str">
        <f t="shared" si="353"/>
        <v>C</v>
      </c>
      <c r="R394" s="12">
        <f t="shared" si="354"/>
        <v>296</v>
      </c>
      <c r="S394" s="12" t="str">
        <f t="shared" si="355"/>
        <v>49%</v>
      </c>
      <c r="T394" s="12">
        <f t="shared" si="356"/>
        <v>0</v>
      </c>
      <c r="U394" s="12">
        <f t="shared" si="357"/>
        <v>3</v>
      </c>
      <c r="V394" s="12">
        <f t="shared" si="358"/>
        <v>2</v>
      </c>
      <c r="W394" s="12">
        <f t="shared" si="359"/>
        <v>0</v>
      </c>
      <c r="X394" s="12">
        <f t="shared" si="360"/>
        <v>0</v>
      </c>
      <c r="Y394" s="19"/>
      <c r="Z394" s="20" t="str">
        <f t="shared" si="361"/>
        <v>Ordinary Pass</v>
      </c>
      <c r="AA394" s="12"/>
      <c r="AB394" s="47"/>
    </row>
    <row r="395" spans="2:28" ht="27" customHeight="1">
      <c r="B395" s="9">
        <v>388</v>
      </c>
      <c r="C395" s="16" t="s">
        <v>887</v>
      </c>
      <c r="D395" s="18" t="s">
        <v>888</v>
      </c>
      <c r="E395" s="15" t="s">
        <v>889</v>
      </c>
      <c r="F395" s="12">
        <v>51</v>
      </c>
      <c r="G395" s="12" t="str">
        <f t="shared" si="348"/>
        <v>S</v>
      </c>
      <c r="H395" s="12">
        <v>56</v>
      </c>
      <c r="I395" s="12" t="str">
        <f t="shared" si="349"/>
        <v>C</v>
      </c>
      <c r="J395" s="12">
        <v>39</v>
      </c>
      <c r="K395" s="12" t="str">
        <f t="shared" si="350"/>
        <v>S</v>
      </c>
      <c r="L395" s="12">
        <v>48</v>
      </c>
      <c r="M395" s="12" t="str">
        <f t="shared" si="351"/>
        <v>S</v>
      </c>
      <c r="N395" s="12">
        <v>61</v>
      </c>
      <c r="O395" s="12" t="str">
        <f t="shared" si="352"/>
        <v>C</v>
      </c>
      <c r="P395" s="12">
        <v>64</v>
      </c>
      <c r="Q395" s="12" t="str">
        <f t="shared" si="353"/>
        <v>C</v>
      </c>
      <c r="R395" s="12">
        <f t="shared" si="354"/>
        <v>319</v>
      </c>
      <c r="S395" s="12" t="str">
        <f t="shared" si="355"/>
        <v>53%</v>
      </c>
      <c r="T395" s="12">
        <f t="shared" si="356"/>
        <v>0</v>
      </c>
      <c r="U395" s="12">
        <f t="shared" si="357"/>
        <v>3</v>
      </c>
      <c r="V395" s="12">
        <f t="shared" si="358"/>
        <v>2</v>
      </c>
      <c r="W395" s="12">
        <f t="shared" si="359"/>
        <v>0</v>
      </c>
      <c r="X395" s="12">
        <f t="shared" si="360"/>
        <v>0</v>
      </c>
      <c r="Y395" s="19"/>
      <c r="Z395" s="20" t="str">
        <f t="shared" si="361"/>
        <v>Ordinary Pass</v>
      </c>
      <c r="AA395" s="12"/>
      <c r="AB395" s="47"/>
    </row>
    <row r="396" spans="2:28" ht="27" customHeight="1">
      <c r="B396" s="9">
        <v>389</v>
      </c>
      <c r="C396" s="16" t="s">
        <v>890</v>
      </c>
      <c r="D396" s="18">
        <v>200364412199</v>
      </c>
      <c r="E396" s="15" t="s">
        <v>891</v>
      </c>
      <c r="F396" s="12" t="s">
        <v>14</v>
      </c>
      <c r="G396" s="12" t="str">
        <f t="shared" si="348"/>
        <v>AB</v>
      </c>
      <c r="H396" s="12" t="s">
        <v>14</v>
      </c>
      <c r="I396" s="12" t="str">
        <f t="shared" si="349"/>
        <v>AB</v>
      </c>
      <c r="J396" s="12" t="s">
        <v>14</v>
      </c>
      <c r="K396" s="12" t="str">
        <f t="shared" si="350"/>
        <v>AB</v>
      </c>
      <c r="L396" s="12" t="s">
        <v>14</v>
      </c>
      <c r="M396" s="12" t="str">
        <f t="shared" si="351"/>
        <v>AB</v>
      </c>
      <c r="N396" s="12" t="s">
        <v>14</v>
      </c>
      <c r="O396" s="12" t="str">
        <f t="shared" si="352"/>
        <v>AB</v>
      </c>
      <c r="P396" s="12" t="s">
        <v>14</v>
      </c>
      <c r="Q396" s="12" t="str">
        <f t="shared" si="353"/>
        <v>AB</v>
      </c>
      <c r="R396" s="12">
        <v>0</v>
      </c>
      <c r="S396" s="12" t="str">
        <f t="shared" si="355"/>
        <v>0%</v>
      </c>
      <c r="T396" s="12">
        <f t="shared" si="356"/>
        <v>0</v>
      </c>
      <c r="U396" s="12">
        <f t="shared" si="357"/>
        <v>0</v>
      </c>
      <c r="V396" s="12">
        <f t="shared" si="358"/>
        <v>0</v>
      </c>
      <c r="W396" s="12">
        <f t="shared" si="359"/>
        <v>0</v>
      </c>
      <c r="X396" s="12">
        <f t="shared" si="360"/>
        <v>6</v>
      </c>
      <c r="Y396" s="19"/>
      <c r="Z396" s="20" t="s">
        <v>7</v>
      </c>
      <c r="AA396" s="12"/>
      <c r="AB396" s="47"/>
    </row>
    <row r="397" spans="2:28" ht="27" customHeight="1">
      <c r="B397" s="9">
        <v>390</v>
      </c>
      <c r="C397" s="16" t="s">
        <v>892</v>
      </c>
      <c r="D397" s="18" t="s">
        <v>893</v>
      </c>
      <c r="E397" s="15" t="s">
        <v>894</v>
      </c>
      <c r="F397" s="12" t="s">
        <v>14</v>
      </c>
      <c r="G397" s="12" t="str">
        <f t="shared" si="348"/>
        <v>AB</v>
      </c>
      <c r="H397" s="12" t="s">
        <v>14</v>
      </c>
      <c r="I397" s="12" t="str">
        <f t="shared" si="349"/>
        <v>AB</v>
      </c>
      <c r="J397" s="12" t="s">
        <v>14</v>
      </c>
      <c r="K397" s="12" t="str">
        <f t="shared" si="350"/>
        <v>AB</v>
      </c>
      <c r="L397" s="12" t="s">
        <v>14</v>
      </c>
      <c r="M397" s="12" t="str">
        <f t="shared" si="351"/>
        <v>AB</v>
      </c>
      <c r="N397" s="12" t="s">
        <v>14</v>
      </c>
      <c r="O397" s="12" t="str">
        <f t="shared" si="352"/>
        <v>AB</v>
      </c>
      <c r="P397" s="12" t="s">
        <v>14</v>
      </c>
      <c r="Q397" s="12" t="str">
        <f t="shared" si="353"/>
        <v>AB</v>
      </c>
      <c r="R397" s="12">
        <v>0</v>
      </c>
      <c r="S397" s="12" t="str">
        <f t="shared" si="355"/>
        <v>0%</v>
      </c>
      <c r="T397" s="12">
        <f t="shared" si="356"/>
        <v>0</v>
      </c>
      <c r="U397" s="12">
        <f t="shared" si="357"/>
        <v>0</v>
      </c>
      <c r="V397" s="12">
        <f t="shared" si="358"/>
        <v>0</v>
      </c>
      <c r="W397" s="12">
        <f t="shared" si="359"/>
        <v>0</v>
      </c>
      <c r="X397" s="12">
        <f t="shared" si="360"/>
        <v>6</v>
      </c>
      <c r="Y397" s="19"/>
      <c r="Z397" s="20" t="s">
        <v>7</v>
      </c>
      <c r="AA397" s="12"/>
      <c r="AB397" s="47"/>
    </row>
    <row r="398" spans="2:28" ht="27" customHeight="1">
      <c r="B398" s="9">
        <v>391</v>
      </c>
      <c r="C398" s="16" t="s">
        <v>895</v>
      </c>
      <c r="D398" s="18">
        <v>200335911916</v>
      </c>
      <c r="E398" s="15" t="s">
        <v>896</v>
      </c>
      <c r="F398" s="12">
        <v>41</v>
      </c>
      <c r="G398" s="12" t="str">
        <f t="shared" si="348"/>
        <v>S</v>
      </c>
      <c r="H398" s="12">
        <v>60</v>
      </c>
      <c r="I398" s="12" t="str">
        <f t="shared" si="349"/>
        <v>C</v>
      </c>
      <c r="J398" s="12">
        <v>61</v>
      </c>
      <c r="K398" s="12" t="str">
        <f t="shared" si="350"/>
        <v>C</v>
      </c>
      <c r="L398" s="12">
        <v>42</v>
      </c>
      <c r="M398" s="12" t="str">
        <f t="shared" si="351"/>
        <v>S</v>
      </c>
      <c r="N398" s="12">
        <v>50</v>
      </c>
      <c r="O398" s="12" t="str">
        <f t="shared" si="352"/>
        <v>S</v>
      </c>
      <c r="P398" s="12">
        <v>65</v>
      </c>
      <c r="Q398" s="12" t="str">
        <f t="shared" si="353"/>
        <v>C</v>
      </c>
      <c r="R398" s="12">
        <f t="shared" si="354"/>
        <v>319</v>
      </c>
      <c r="S398" s="12" t="str">
        <f t="shared" si="355"/>
        <v>53%</v>
      </c>
      <c r="T398" s="12">
        <f t="shared" si="356"/>
        <v>0</v>
      </c>
      <c r="U398" s="12">
        <f t="shared" si="357"/>
        <v>3</v>
      </c>
      <c r="V398" s="12">
        <f t="shared" si="358"/>
        <v>2</v>
      </c>
      <c r="W398" s="12">
        <f t="shared" si="359"/>
        <v>0</v>
      </c>
      <c r="X398" s="12">
        <f t="shared" si="360"/>
        <v>0</v>
      </c>
      <c r="Y398" s="19"/>
      <c r="Z398" s="20" t="str">
        <f t="shared" si="361"/>
        <v>Ordinary Pass</v>
      </c>
      <c r="AA398" s="12"/>
      <c r="AB398" s="47"/>
    </row>
    <row r="399" spans="2:28" ht="27" customHeight="1">
      <c r="B399" s="9">
        <v>392</v>
      </c>
      <c r="C399" s="16" t="s">
        <v>897</v>
      </c>
      <c r="D399" s="18">
        <v>198385100191</v>
      </c>
      <c r="E399" s="15" t="s">
        <v>898</v>
      </c>
      <c r="F399" s="12" t="s">
        <v>14</v>
      </c>
      <c r="G399" s="12" t="str">
        <f t="shared" si="348"/>
        <v>AB</v>
      </c>
      <c r="H399" s="12" t="s">
        <v>14</v>
      </c>
      <c r="I399" s="12" t="str">
        <f t="shared" si="349"/>
        <v>AB</v>
      </c>
      <c r="J399" s="12" t="s">
        <v>14</v>
      </c>
      <c r="K399" s="12" t="str">
        <f t="shared" si="350"/>
        <v>AB</v>
      </c>
      <c r="L399" s="12" t="s">
        <v>14</v>
      </c>
      <c r="M399" s="12" t="str">
        <f t="shared" si="351"/>
        <v>AB</v>
      </c>
      <c r="N399" s="12" t="s">
        <v>14</v>
      </c>
      <c r="O399" s="12" t="str">
        <f t="shared" si="352"/>
        <v>AB</v>
      </c>
      <c r="P399" s="12" t="s">
        <v>14</v>
      </c>
      <c r="Q399" s="12" t="str">
        <f t="shared" si="353"/>
        <v>AB</v>
      </c>
      <c r="R399" s="12">
        <v>0</v>
      </c>
      <c r="S399" s="12" t="str">
        <f t="shared" si="355"/>
        <v>0%</v>
      </c>
      <c r="T399" s="12">
        <f t="shared" si="356"/>
        <v>0</v>
      </c>
      <c r="U399" s="12">
        <f t="shared" si="357"/>
        <v>0</v>
      </c>
      <c r="V399" s="12">
        <f t="shared" si="358"/>
        <v>0</v>
      </c>
      <c r="W399" s="12">
        <f t="shared" si="359"/>
        <v>0</v>
      </c>
      <c r="X399" s="12">
        <f t="shared" si="360"/>
        <v>6</v>
      </c>
      <c r="Y399" s="19"/>
      <c r="Z399" s="20" t="s">
        <v>7</v>
      </c>
      <c r="AA399" s="12"/>
      <c r="AB399" s="47"/>
    </row>
    <row r="400" spans="2:28" ht="27" customHeight="1">
      <c r="B400" s="9">
        <v>393</v>
      </c>
      <c r="C400" s="16" t="s">
        <v>899</v>
      </c>
      <c r="D400" s="18" t="s">
        <v>900</v>
      </c>
      <c r="E400" s="15" t="s">
        <v>901</v>
      </c>
      <c r="F400" s="12">
        <v>49</v>
      </c>
      <c r="G400" s="12" t="str">
        <f t="shared" si="348"/>
        <v>S</v>
      </c>
      <c r="H400" s="12">
        <v>65</v>
      </c>
      <c r="I400" s="12" t="str">
        <f t="shared" si="349"/>
        <v>C</v>
      </c>
      <c r="J400" s="12">
        <v>10</v>
      </c>
      <c r="K400" s="12" t="str">
        <f t="shared" si="350"/>
        <v>F</v>
      </c>
      <c r="L400" s="12">
        <v>45</v>
      </c>
      <c r="M400" s="12" t="str">
        <f t="shared" si="351"/>
        <v>S</v>
      </c>
      <c r="N400" s="12">
        <v>55</v>
      </c>
      <c r="O400" s="12" t="str">
        <f t="shared" si="352"/>
        <v>C</v>
      </c>
      <c r="P400" s="12">
        <v>61</v>
      </c>
      <c r="Q400" s="12" t="str">
        <f t="shared" si="353"/>
        <v>C</v>
      </c>
      <c r="R400" s="12">
        <f t="shared" si="354"/>
        <v>285</v>
      </c>
      <c r="S400" s="12" t="str">
        <f t="shared" si="355"/>
        <v>48%</v>
      </c>
      <c r="T400" s="12">
        <f t="shared" si="356"/>
        <v>0</v>
      </c>
      <c r="U400" s="12">
        <f t="shared" si="357"/>
        <v>3</v>
      </c>
      <c r="V400" s="12">
        <f t="shared" si="358"/>
        <v>1</v>
      </c>
      <c r="W400" s="12">
        <f t="shared" si="359"/>
        <v>1</v>
      </c>
      <c r="X400" s="12">
        <f t="shared" si="360"/>
        <v>0</v>
      </c>
      <c r="Y400" s="19"/>
      <c r="Z400" s="20" t="s">
        <v>6</v>
      </c>
      <c r="AA400" s="12" t="s">
        <v>84</v>
      </c>
      <c r="AB400" s="47"/>
    </row>
    <row r="401" spans="2:28" ht="27" customHeight="1">
      <c r="B401" s="9">
        <v>394</v>
      </c>
      <c r="C401" s="16" t="s">
        <v>902</v>
      </c>
      <c r="D401" s="18">
        <v>200052203917</v>
      </c>
      <c r="E401" s="15" t="s">
        <v>903</v>
      </c>
      <c r="F401" s="12" t="s">
        <v>14</v>
      </c>
      <c r="G401" s="12" t="str">
        <f t="shared" si="348"/>
        <v>AB</v>
      </c>
      <c r="H401" s="12" t="s">
        <v>14</v>
      </c>
      <c r="I401" s="12" t="str">
        <f t="shared" si="349"/>
        <v>AB</v>
      </c>
      <c r="J401" s="12" t="s">
        <v>14</v>
      </c>
      <c r="K401" s="12" t="str">
        <f t="shared" si="350"/>
        <v>AB</v>
      </c>
      <c r="L401" s="12" t="s">
        <v>14</v>
      </c>
      <c r="M401" s="12" t="str">
        <f t="shared" si="351"/>
        <v>AB</v>
      </c>
      <c r="N401" s="12" t="s">
        <v>14</v>
      </c>
      <c r="O401" s="12" t="str">
        <f t="shared" si="352"/>
        <v>AB</v>
      </c>
      <c r="P401" s="12" t="s">
        <v>14</v>
      </c>
      <c r="Q401" s="12" t="str">
        <f t="shared" si="353"/>
        <v>AB</v>
      </c>
      <c r="R401" s="12">
        <v>0</v>
      </c>
      <c r="S401" s="12" t="str">
        <f t="shared" si="355"/>
        <v>0%</v>
      </c>
      <c r="T401" s="12">
        <f t="shared" si="356"/>
        <v>0</v>
      </c>
      <c r="U401" s="12">
        <f t="shared" si="357"/>
        <v>0</v>
      </c>
      <c r="V401" s="12">
        <f t="shared" si="358"/>
        <v>0</v>
      </c>
      <c r="W401" s="12">
        <f t="shared" si="359"/>
        <v>0</v>
      </c>
      <c r="X401" s="12">
        <f t="shared" si="360"/>
        <v>6</v>
      </c>
      <c r="Y401" s="19"/>
      <c r="Z401" s="20" t="s">
        <v>7</v>
      </c>
      <c r="AA401" s="12"/>
      <c r="AB401" s="47"/>
    </row>
    <row r="402" spans="2:28" ht="27" customHeight="1">
      <c r="B402" s="9">
        <v>395</v>
      </c>
      <c r="C402" s="16" t="s">
        <v>904</v>
      </c>
      <c r="D402" s="18" t="s">
        <v>905</v>
      </c>
      <c r="E402" s="15" t="s">
        <v>906</v>
      </c>
      <c r="F402" s="12">
        <v>42</v>
      </c>
      <c r="G402" s="12" t="str">
        <f t="shared" si="348"/>
        <v>S</v>
      </c>
      <c r="H402" s="12">
        <v>62</v>
      </c>
      <c r="I402" s="12" t="str">
        <f t="shared" si="349"/>
        <v>C</v>
      </c>
      <c r="J402" s="12">
        <v>62</v>
      </c>
      <c r="K402" s="12" t="str">
        <f t="shared" si="350"/>
        <v>C</v>
      </c>
      <c r="L402" s="12">
        <v>65</v>
      </c>
      <c r="M402" s="12" t="str">
        <f t="shared" si="351"/>
        <v>C</v>
      </c>
      <c r="N402" s="12">
        <v>63</v>
      </c>
      <c r="O402" s="12" t="str">
        <f t="shared" si="352"/>
        <v>C</v>
      </c>
      <c r="P402" s="12">
        <v>67</v>
      </c>
      <c r="Q402" s="12" t="str">
        <f t="shared" si="353"/>
        <v>C</v>
      </c>
      <c r="R402" s="12">
        <f t="shared" si="354"/>
        <v>361</v>
      </c>
      <c r="S402" s="12" t="str">
        <f t="shared" si="355"/>
        <v>60%</v>
      </c>
      <c r="T402" s="12">
        <f t="shared" si="356"/>
        <v>0</v>
      </c>
      <c r="U402" s="12">
        <f t="shared" si="357"/>
        <v>5</v>
      </c>
      <c r="V402" s="12">
        <f t="shared" si="358"/>
        <v>0</v>
      </c>
      <c r="W402" s="12">
        <f t="shared" si="359"/>
        <v>0</v>
      </c>
      <c r="X402" s="12">
        <f t="shared" si="360"/>
        <v>0</v>
      </c>
      <c r="Y402" s="19"/>
      <c r="Z402" s="20" t="s">
        <v>9</v>
      </c>
      <c r="AA402" s="12"/>
      <c r="AB402" s="47"/>
    </row>
    <row r="403" spans="2:28" ht="27" customHeight="1">
      <c r="B403" s="9">
        <v>396</v>
      </c>
      <c r="C403" s="16" t="s">
        <v>907</v>
      </c>
      <c r="D403" s="18" t="s">
        <v>908</v>
      </c>
      <c r="E403" s="15" t="s">
        <v>909</v>
      </c>
      <c r="F403" s="12">
        <v>43</v>
      </c>
      <c r="G403" s="12" t="str">
        <f t="shared" si="348"/>
        <v>S</v>
      </c>
      <c r="H403" s="12">
        <v>59</v>
      </c>
      <c r="I403" s="12" t="str">
        <f t="shared" si="349"/>
        <v>C</v>
      </c>
      <c r="J403" s="12">
        <v>55</v>
      </c>
      <c r="K403" s="12" t="str">
        <f t="shared" si="350"/>
        <v>C</v>
      </c>
      <c r="L403" s="12">
        <v>48</v>
      </c>
      <c r="M403" s="12" t="str">
        <f t="shared" si="351"/>
        <v>S</v>
      </c>
      <c r="N403" s="12">
        <v>40</v>
      </c>
      <c r="O403" s="12" t="str">
        <f t="shared" si="352"/>
        <v>S</v>
      </c>
      <c r="P403" s="12">
        <v>58</v>
      </c>
      <c r="Q403" s="12" t="str">
        <f t="shared" si="353"/>
        <v>C</v>
      </c>
      <c r="R403" s="12">
        <f t="shared" si="354"/>
        <v>303</v>
      </c>
      <c r="S403" s="12" t="str">
        <f t="shared" si="355"/>
        <v>51%</v>
      </c>
      <c r="T403" s="12">
        <f t="shared" si="356"/>
        <v>0</v>
      </c>
      <c r="U403" s="12">
        <f t="shared" si="357"/>
        <v>3</v>
      </c>
      <c r="V403" s="12">
        <f t="shared" si="358"/>
        <v>2</v>
      </c>
      <c r="W403" s="12">
        <f t="shared" si="359"/>
        <v>0</v>
      </c>
      <c r="X403" s="12">
        <f t="shared" si="360"/>
        <v>0</v>
      </c>
      <c r="Y403" s="19"/>
      <c r="Z403" s="20" t="str">
        <f t="shared" si="361"/>
        <v>Ordinary Pass</v>
      </c>
      <c r="AA403" s="12"/>
      <c r="AB403" s="47"/>
    </row>
    <row r="404" spans="2:28" ht="27" customHeight="1">
      <c r="B404" s="9">
        <v>397</v>
      </c>
      <c r="C404" s="16" t="s">
        <v>910</v>
      </c>
      <c r="D404" s="18" t="s">
        <v>911</v>
      </c>
      <c r="E404" s="15" t="s">
        <v>912</v>
      </c>
      <c r="F404" s="12">
        <v>50</v>
      </c>
      <c r="G404" s="12" t="str">
        <f t="shared" si="348"/>
        <v>S</v>
      </c>
      <c r="H404" s="12">
        <v>57</v>
      </c>
      <c r="I404" s="12" t="str">
        <f t="shared" si="349"/>
        <v>C</v>
      </c>
      <c r="J404" s="12">
        <v>49</v>
      </c>
      <c r="K404" s="12" t="str">
        <f t="shared" si="350"/>
        <v>S</v>
      </c>
      <c r="L404" s="12">
        <v>43</v>
      </c>
      <c r="M404" s="12" t="str">
        <f t="shared" si="351"/>
        <v>S</v>
      </c>
      <c r="N404" s="12">
        <v>55</v>
      </c>
      <c r="O404" s="12" t="str">
        <f t="shared" si="352"/>
        <v>C</v>
      </c>
      <c r="P404" s="12">
        <v>57</v>
      </c>
      <c r="Q404" s="12" t="str">
        <f t="shared" si="353"/>
        <v>C</v>
      </c>
      <c r="R404" s="12">
        <f t="shared" si="354"/>
        <v>311</v>
      </c>
      <c r="S404" s="12" t="str">
        <f t="shared" si="355"/>
        <v>52%</v>
      </c>
      <c r="T404" s="12">
        <f t="shared" si="356"/>
        <v>0</v>
      </c>
      <c r="U404" s="12">
        <f t="shared" si="357"/>
        <v>3</v>
      </c>
      <c r="V404" s="12">
        <f t="shared" si="358"/>
        <v>2</v>
      </c>
      <c r="W404" s="12">
        <f t="shared" si="359"/>
        <v>0</v>
      </c>
      <c r="X404" s="12">
        <f t="shared" si="360"/>
        <v>0</v>
      </c>
      <c r="Y404" s="19"/>
      <c r="Z404" s="20" t="str">
        <f t="shared" si="361"/>
        <v>Ordinary Pass</v>
      </c>
      <c r="AA404" s="12"/>
      <c r="AB404" s="47"/>
    </row>
    <row r="405" spans="2:28" ht="27" customHeight="1">
      <c r="B405" s="9">
        <v>398</v>
      </c>
      <c r="C405" s="16" t="s">
        <v>913</v>
      </c>
      <c r="D405" s="18">
        <v>197771002850</v>
      </c>
      <c r="E405" s="15" t="s">
        <v>914</v>
      </c>
      <c r="F405" s="12">
        <v>43</v>
      </c>
      <c r="G405" s="12" t="str">
        <f t="shared" si="348"/>
        <v>S</v>
      </c>
      <c r="H405" s="12">
        <v>41</v>
      </c>
      <c r="I405" s="12" t="str">
        <f t="shared" si="349"/>
        <v>S</v>
      </c>
      <c r="J405" s="12">
        <v>21</v>
      </c>
      <c r="K405" s="12" t="str">
        <f t="shared" si="350"/>
        <v>F</v>
      </c>
      <c r="L405" s="12">
        <v>29</v>
      </c>
      <c r="M405" s="12" t="str">
        <f t="shared" si="351"/>
        <v>F</v>
      </c>
      <c r="N405" s="12">
        <v>46</v>
      </c>
      <c r="O405" s="12" t="str">
        <f t="shared" si="352"/>
        <v>S</v>
      </c>
      <c r="P405" s="12">
        <v>53</v>
      </c>
      <c r="Q405" s="12" t="str">
        <f t="shared" si="353"/>
        <v>S</v>
      </c>
      <c r="R405" s="12">
        <f t="shared" si="354"/>
        <v>233</v>
      </c>
      <c r="S405" s="12" t="str">
        <f t="shared" si="355"/>
        <v>39%</v>
      </c>
      <c r="T405" s="12">
        <f t="shared" si="356"/>
        <v>0</v>
      </c>
      <c r="U405" s="12">
        <f t="shared" si="357"/>
        <v>0</v>
      </c>
      <c r="V405" s="12">
        <f t="shared" si="358"/>
        <v>3</v>
      </c>
      <c r="W405" s="12">
        <f t="shared" si="359"/>
        <v>2</v>
      </c>
      <c r="X405" s="12">
        <f t="shared" si="360"/>
        <v>0</v>
      </c>
      <c r="Y405" s="19"/>
      <c r="Z405" s="20" t="s">
        <v>6</v>
      </c>
      <c r="AA405" s="12" t="s">
        <v>915</v>
      </c>
      <c r="AB405" s="47"/>
    </row>
    <row r="406" spans="2:28" ht="27" customHeight="1">
      <c r="B406" s="9">
        <v>399</v>
      </c>
      <c r="C406" s="16" t="s">
        <v>916</v>
      </c>
      <c r="D406" s="18">
        <v>200162002040</v>
      </c>
      <c r="E406" s="15" t="s">
        <v>917</v>
      </c>
      <c r="F406" s="12" t="s">
        <v>14</v>
      </c>
      <c r="G406" s="12" t="str">
        <f t="shared" si="348"/>
        <v>AB</v>
      </c>
      <c r="H406" s="12" t="s">
        <v>14</v>
      </c>
      <c r="I406" s="12" t="str">
        <f t="shared" si="349"/>
        <v>AB</v>
      </c>
      <c r="J406" s="12" t="s">
        <v>14</v>
      </c>
      <c r="K406" s="12" t="str">
        <f t="shared" si="350"/>
        <v>AB</v>
      </c>
      <c r="L406" s="12" t="s">
        <v>14</v>
      </c>
      <c r="M406" s="12" t="str">
        <f t="shared" si="351"/>
        <v>AB</v>
      </c>
      <c r="N406" s="12" t="s">
        <v>14</v>
      </c>
      <c r="O406" s="12" t="str">
        <f t="shared" si="352"/>
        <v>AB</v>
      </c>
      <c r="P406" s="12" t="s">
        <v>14</v>
      </c>
      <c r="Q406" s="12" t="str">
        <f t="shared" si="353"/>
        <v>AB</v>
      </c>
      <c r="R406" s="12">
        <v>0</v>
      </c>
      <c r="S406" s="12" t="str">
        <f t="shared" si="355"/>
        <v>0%</v>
      </c>
      <c r="T406" s="12">
        <f t="shared" si="356"/>
        <v>0</v>
      </c>
      <c r="U406" s="12">
        <f t="shared" si="357"/>
        <v>0</v>
      </c>
      <c r="V406" s="12">
        <f t="shared" si="358"/>
        <v>0</v>
      </c>
      <c r="W406" s="12">
        <f t="shared" si="359"/>
        <v>0</v>
      </c>
      <c r="X406" s="12">
        <f t="shared" si="360"/>
        <v>6</v>
      </c>
      <c r="Y406" s="19"/>
      <c r="Z406" s="20" t="s">
        <v>7</v>
      </c>
      <c r="AA406" s="12"/>
      <c r="AB406" s="47"/>
    </row>
    <row r="407" spans="2:28" ht="27" customHeight="1">
      <c r="B407" s="9">
        <v>400</v>
      </c>
      <c r="C407" s="16" t="s">
        <v>918</v>
      </c>
      <c r="D407" s="18">
        <v>198271200588</v>
      </c>
      <c r="E407" s="15" t="s">
        <v>919</v>
      </c>
      <c r="F407" s="12">
        <v>31</v>
      </c>
      <c r="G407" s="12" t="str">
        <f t="shared" si="348"/>
        <v>F</v>
      </c>
      <c r="H407" s="12">
        <v>59</v>
      </c>
      <c r="I407" s="12" t="str">
        <f t="shared" si="349"/>
        <v>C</v>
      </c>
      <c r="J407" s="12">
        <v>35</v>
      </c>
      <c r="K407" s="12" t="str">
        <f t="shared" si="350"/>
        <v>S</v>
      </c>
      <c r="L407" s="12">
        <v>41</v>
      </c>
      <c r="M407" s="12" t="str">
        <f t="shared" si="351"/>
        <v>S</v>
      </c>
      <c r="N407" s="12">
        <v>40</v>
      </c>
      <c r="O407" s="12" t="str">
        <f t="shared" si="352"/>
        <v>S</v>
      </c>
      <c r="P407" s="12">
        <v>62</v>
      </c>
      <c r="Q407" s="12" t="str">
        <f t="shared" si="353"/>
        <v>C</v>
      </c>
      <c r="R407" s="12">
        <f t="shared" si="354"/>
        <v>268</v>
      </c>
      <c r="S407" s="12" t="str">
        <f t="shared" si="355"/>
        <v>45%</v>
      </c>
      <c r="T407" s="12">
        <f t="shared" si="356"/>
        <v>0</v>
      </c>
      <c r="U407" s="12">
        <f t="shared" si="357"/>
        <v>2</v>
      </c>
      <c r="V407" s="12">
        <f t="shared" si="358"/>
        <v>3</v>
      </c>
      <c r="W407" s="12">
        <f t="shared" si="359"/>
        <v>0</v>
      </c>
      <c r="X407" s="12">
        <f t="shared" si="360"/>
        <v>0</v>
      </c>
      <c r="Y407" s="19"/>
      <c r="Z407" s="20" t="s">
        <v>6</v>
      </c>
      <c r="AA407" s="12" t="s">
        <v>143</v>
      </c>
      <c r="AB407" s="47"/>
    </row>
    <row r="408" spans="2:28" ht="27" customHeight="1">
      <c r="B408" s="9">
        <v>401</v>
      </c>
      <c r="C408" s="16" t="s">
        <v>920</v>
      </c>
      <c r="D408" s="18">
        <v>199954900064</v>
      </c>
      <c r="E408" s="15" t="s">
        <v>921</v>
      </c>
      <c r="F408" s="12" t="s">
        <v>14</v>
      </c>
      <c r="G408" s="12" t="str">
        <f t="shared" ref="G408:G409" si="362">IF(F408="-", "AB", IF(F408&gt;=75, "D", IF(F408&gt;=55, "C", IF(F408&gt;=35, "S", IF(F408&gt;=0, "F")))))</f>
        <v>AB</v>
      </c>
      <c r="H408" s="12" t="s">
        <v>14</v>
      </c>
      <c r="I408" s="12" t="str">
        <f t="shared" ref="I408:I409" si="363">IF(H408="-", "AB", IF(H408&gt;=75, "D", IF(H408&gt;=55, "C", IF(H408&gt;=35, "S", IF(H408&gt;=0, "F")))))</f>
        <v>AB</v>
      </c>
      <c r="J408" s="12" t="s">
        <v>14</v>
      </c>
      <c r="K408" s="12" t="str">
        <f t="shared" ref="K408:K409" si="364">IF(J408="-", "AB", IF(J408&gt;=75, "D", IF(J408&gt;=55, "C", IF(J408&gt;=35, "S", IF(J408&gt;=0, "F")))))</f>
        <v>AB</v>
      </c>
      <c r="L408" s="12" t="s">
        <v>14</v>
      </c>
      <c r="M408" s="12" t="str">
        <f t="shared" ref="M408:M409" si="365">IF(L408="-", "AB", IF(L408&gt;=75, "D", IF(L408&gt;=55, "C", IF(L408&gt;=35, "S", IF(L408&gt;=0, "F")))))</f>
        <v>AB</v>
      </c>
      <c r="N408" s="12" t="s">
        <v>14</v>
      </c>
      <c r="O408" s="12" t="str">
        <f t="shared" ref="O408:O409" si="366">IF(N408="-", "AB", IF(N408&gt;=75, "D", IF(N408&gt;=55, "C", IF(N408&gt;=35, "S", IF(N408&gt;=0, "F")))))</f>
        <v>AB</v>
      </c>
      <c r="P408" s="12" t="s">
        <v>14</v>
      </c>
      <c r="Q408" s="12" t="str">
        <f t="shared" ref="Q408:Q409" si="367">IF(P408="-", "AB", IF(P408&gt;=75, "D", IF(P408&gt;=55, "C", IF(P408&gt;=35, "S", IF(P408&gt;=0, "F")))))</f>
        <v>AB</v>
      </c>
      <c r="R408" s="12">
        <v>0</v>
      </c>
      <c r="S408" s="12" t="str">
        <f t="shared" ref="S408:S409" si="368">ROUND(R408/6, 0)&amp;"%"</f>
        <v>0%</v>
      </c>
      <c r="T408" s="12">
        <f t="shared" ref="T408:T409" si="369">COUNTIF(F408:Q408, "D")</f>
        <v>0</v>
      </c>
      <c r="U408" s="12">
        <f t="shared" ref="U408:U409" si="370">COUNTIF(G408:T408, "C")</f>
        <v>0</v>
      </c>
      <c r="V408" s="12">
        <f t="shared" ref="V408:V409" si="371">COUNTIF(H408:U408, "S")</f>
        <v>0</v>
      </c>
      <c r="W408" s="12">
        <f t="shared" ref="W408:W409" si="372">COUNTIF(I408:V408, "F")</f>
        <v>0</v>
      </c>
      <c r="X408" s="12">
        <f t="shared" ref="X408:X409" si="373">COUNTIF(F408:W408, "-")</f>
        <v>6</v>
      </c>
      <c r="Y408" s="19"/>
      <c r="Z408" s="20" t="s">
        <v>7</v>
      </c>
      <c r="AA408" s="12"/>
      <c r="AB408" s="47"/>
    </row>
    <row r="409" spans="2:28" ht="27" customHeight="1">
      <c r="B409" s="9">
        <v>402</v>
      </c>
      <c r="C409" s="16" t="s">
        <v>922</v>
      </c>
      <c r="D409" s="18" t="s">
        <v>923</v>
      </c>
      <c r="E409" s="15" t="s">
        <v>924</v>
      </c>
      <c r="F409" s="12" t="s">
        <v>14</v>
      </c>
      <c r="G409" s="12" t="str">
        <f t="shared" si="362"/>
        <v>AB</v>
      </c>
      <c r="H409" s="12" t="s">
        <v>14</v>
      </c>
      <c r="I409" s="12" t="str">
        <f t="shared" si="363"/>
        <v>AB</v>
      </c>
      <c r="J409" s="12" t="s">
        <v>14</v>
      </c>
      <c r="K409" s="12" t="str">
        <f t="shared" si="364"/>
        <v>AB</v>
      </c>
      <c r="L409" s="12" t="s">
        <v>14</v>
      </c>
      <c r="M409" s="12" t="str">
        <f t="shared" si="365"/>
        <v>AB</v>
      </c>
      <c r="N409" s="12" t="s">
        <v>14</v>
      </c>
      <c r="O409" s="12" t="str">
        <f t="shared" si="366"/>
        <v>AB</v>
      </c>
      <c r="P409" s="12" t="s">
        <v>14</v>
      </c>
      <c r="Q409" s="12" t="str">
        <f t="shared" si="367"/>
        <v>AB</v>
      </c>
      <c r="R409" s="12">
        <v>0</v>
      </c>
      <c r="S409" s="12" t="str">
        <f t="shared" si="368"/>
        <v>0%</v>
      </c>
      <c r="T409" s="12">
        <f t="shared" si="369"/>
        <v>0</v>
      </c>
      <c r="U409" s="12">
        <f t="shared" si="370"/>
        <v>0</v>
      </c>
      <c r="V409" s="12">
        <f t="shared" si="371"/>
        <v>0</v>
      </c>
      <c r="W409" s="12">
        <f t="shared" si="372"/>
        <v>0</v>
      </c>
      <c r="X409" s="12">
        <f t="shared" si="373"/>
        <v>6</v>
      </c>
      <c r="Y409" s="19"/>
      <c r="Z409" s="20" t="s">
        <v>7</v>
      </c>
      <c r="AA409" s="12"/>
      <c r="AB409" s="47"/>
    </row>
  </sheetData>
  <mergeCells count="21">
    <mergeCell ref="E6:E7"/>
    <mergeCell ref="D6:D7"/>
    <mergeCell ref="AA6:AA7"/>
    <mergeCell ref="Z6:Z7"/>
    <mergeCell ref="F6:G6"/>
    <mergeCell ref="B6:B7"/>
    <mergeCell ref="C6:C7"/>
    <mergeCell ref="A1:AA1"/>
    <mergeCell ref="A2:AA2"/>
    <mergeCell ref="A3:AA3"/>
    <mergeCell ref="A5:AA5"/>
    <mergeCell ref="P6:Q6"/>
    <mergeCell ref="J6:K6"/>
    <mergeCell ref="L6:M6"/>
    <mergeCell ref="N6:O6"/>
    <mergeCell ref="T6:T7"/>
    <mergeCell ref="S6:S7"/>
    <mergeCell ref="U6:U7"/>
    <mergeCell ref="R6:R7"/>
    <mergeCell ref="H6:I6"/>
    <mergeCell ref="AB6:AB7"/>
  </mergeCells>
  <pageMargins left="1" right="0" top="0.5" bottom="0" header="0.3" footer="0.5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All Centers</vt:lpstr>
      <vt:lpstr>'All Centers'!Print_Area</vt:lpstr>
      <vt:lpstr>'All Centers'!Print_Titles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Chathura</dc:creator>
  <cp:lastModifiedBy>Yasiru Jayasinghe</cp:lastModifiedBy>
  <cp:lastPrinted>2025-08-15T09:57:20Z</cp:lastPrinted>
  <dcterms:created xsi:type="dcterms:W3CDTF">2015-06-05T18:17:20Z</dcterms:created>
  <dcterms:modified xsi:type="dcterms:W3CDTF">2026-07-28T01:41:42Z</dcterms:modified>
  <cp:contentStatus/>
</cp:coreProperties>
</file>