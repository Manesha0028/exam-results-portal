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c-Link\Downloads\Results (2)\Results\"/>
    </mc:Choice>
  </mc:AlternateContent>
  <xr:revisionPtr revIDLastSave="0" documentId="13_ncr:1_{766D6D1D-E82C-4F9D-8E07-7684FF07E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</sheets>
  <definedNames>
    <definedName name="_xlnm.Print_Area" localSheetId="0">Sheet3!$A$1:$BA$17</definedName>
    <definedName name="_xlnm.Print_Titles" localSheetId="0">Sheet3!$1:$6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4" i="3" l="1"/>
  <c r="K10" i="3"/>
  <c r="AC8" i="3"/>
  <c r="U10" i="3" l="1"/>
  <c r="W10" i="3"/>
  <c r="Y10" i="3"/>
  <c r="AA10" i="3"/>
  <c r="S11" i="3"/>
  <c r="U11" i="3"/>
  <c r="W11" i="3"/>
  <c r="Y11" i="3"/>
  <c r="AA11" i="3"/>
  <c r="AC11" i="3"/>
  <c r="AE11" i="3"/>
  <c r="AG11" i="3"/>
  <c r="AI11" i="3"/>
  <c r="AK11" i="3"/>
  <c r="AM11" i="3"/>
  <c r="AO11" i="3"/>
  <c r="AQ11" i="3"/>
  <c r="AS11" i="3"/>
  <c r="AU11" i="3"/>
  <c r="AW11" i="3"/>
  <c r="AX11" i="3"/>
  <c r="AY11" i="3" s="1"/>
  <c r="S13" i="3"/>
  <c r="U13" i="3"/>
  <c r="W13" i="3"/>
  <c r="Y13" i="3"/>
  <c r="AA13" i="3"/>
  <c r="AC13" i="3"/>
  <c r="AE13" i="3"/>
  <c r="AG13" i="3"/>
  <c r="AI13" i="3"/>
  <c r="AK13" i="3"/>
  <c r="AM13" i="3"/>
  <c r="AO13" i="3"/>
  <c r="AQ13" i="3"/>
  <c r="AS13" i="3"/>
  <c r="AU13" i="3"/>
  <c r="AW13" i="3"/>
  <c r="AX13" i="3"/>
  <c r="AY13" i="3" s="1"/>
  <c r="S14" i="3"/>
  <c r="U14" i="3"/>
  <c r="W14" i="3"/>
  <c r="Y14" i="3"/>
  <c r="AA14" i="3"/>
  <c r="AC14" i="3"/>
  <c r="AE14" i="3"/>
  <c r="AG14" i="3"/>
  <c r="AI14" i="3"/>
  <c r="AK14" i="3"/>
  <c r="AM14" i="3"/>
  <c r="AO14" i="3"/>
  <c r="AQ14" i="3"/>
  <c r="AU14" i="3"/>
  <c r="AW14" i="3"/>
  <c r="AX14" i="3"/>
  <c r="AY14" i="3" s="1"/>
  <c r="AK15" i="3"/>
  <c r="AO15" i="3"/>
  <c r="AS15" i="3"/>
  <c r="S16" i="3"/>
  <c r="U16" i="3"/>
  <c r="W16" i="3"/>
  <c r="Y16" i="3"/>
  <c r="AA16" i="3"/>
  <c r="AC16" i="3"/>
  <c r="AE16" i="3"/>
  <c r="AG16" i="3"/>
  <c r="AI16" i="3"/>
  <c r="AK16" i="3"/>
  <c r="AM16" i="3"/>
  <c r="AO16" i="3"/>
  <c r="AQ16" i="3"/>
  <c r="AS16" i="3"/>
  <c r="AU16" i="3"/>
  <c r="AW16" i="3"/>
  <c r="AX16" i="3"/>
  <c r="AY16" i="3" s="1"/>
  <c r="S18" i="3"/>
  <c r="U18" i="3"/>
  <c r="W18" i="3"/>
  <c r="Y18" i="3"/>
  <c r="AA18" i="3"/>
  <c r="AC18" i="3"/>
  <c r="AE18" i="3"/>
  <c r="AG18" i="3"/>
  <c r="AI18" i="3"/>
  <c r="AK18" i="3"/>
  <c r="AM18" i="3"/>
  <c r="AO18" i="3"/>
  <c r="AQ18" i="3"/>
  <c r="AS18" i="3"/>
  <c r="AU18" i="3"/>
  <c r="AW18" i="3"/>
  <c r="AX18" i="3"/>
  <c r="AY18" i="3" s="1"/>
  <c r="AE8" i="3"/>
  <c r="AG8" i="3"/>
  <c r="AI8" i="3"/>
  <c r="AK8" i="3"/>
  <c r="AM8" i="3"/>
  <c r="AO8" i="3"/>
  <c r="AQ8" i="3"/>
  <c r="AS8" i="3"/>
  <c r="AU8" i="3"/>
  <c r="AW8" i="3"/>
  <c r="AX8" i="3"/>
  <c r="AY8" i="3" s="1"/>
  <c r="G14" i="3"/>
  <c r="G10" i="3"/>
  <c r="Q18" i="3"/>
  <c r="O18" i="3"/>
  <c r="M18" i="3"/>
  <c r="K18" i="3"/>
  <c r="I18" i="3"/>
  <c r="G18" i="3"/>
  <c r="Q16" i="3"/>
  <c r="O16" i="3"/>
  <c r="M16" i="3"/>
  <c r="K16" i="3"/>
  <c r="I16" i="3"/>
  <c r="G16" i="3"/>
  <c r="Q14" i="3"/>
  <c r="O14" i="3"/>
  <c r="M14" i="3"/>
  <c r="K14" i="3"/>
  <c r="I14" i="3"/>
  <c r="Q13" i="3"/>
  <c r="O13" i="3"/>
  <c r="M13" i="3"/>
  <c r="K13" i="3"/>
  <c r="I13" i="3"/>
  <c r="G13" i="3"/>
  <c r="Q11" i="3"/>
  <c r="O11" i="3"/>
  <c r="M11" i="3"/>
  <c r="K11" i="3"/>
  <c r="I11" i="3"/>
  <c r="G11" i="3"/>
  <c r="Q10" i="3"/>
  <c r="O10" i="3"/>
  <c r="M10" i="3"/>
  <c r="I10" i="3"/>
  <c r="AA8" i="3"/>
  <c r="Y8" i="3"/>
  <c r="W8" i="3"/>
  <c r="U8" i="3"/>
  <c r="S8" i="3"/>
  <c r="Q8" i="3"/>
  <c r="O8" i="3"/>
  <c r="M8" i="3"/>
  <c r="K8" i="3"/>
  <c r="I8" i="3"/>
  <c r="G8" i="3"/>
</calcChain>
</file>

<file path=xl/sharedStrings.xml><?xml version="1.0" encoding="utf-8"?>
<sst xmlns="http://schemas.openxmlformats.org/spreadsheetml/2006/main" count="282" uniqueCount="85">
  <si>
    <t>NATIONAL COOPERATIVE COUNCIL OF SRI LANKA, NO 455, GALLE ROAD, COLOMBO 03</t>
  </si>
  <si>
    <t xml:space="preserve">NAME </t>
  </si>
  <si>
    <t>ID NO</t>
  </si>
  <si>
    <t xml:space="preserve">INDEX NO </t>
  </si>
  <si>
    <t>TOTAL</t>
  </si>
  <si>
    <t>10</t>
  </si>
  <si>
    <t>11</t>
  </si>
  <si>
    <t>Subhasinghe Arachchilage Srimali Karunarathna</t>
  </si>
  <si>
    <t>926973088 V</t>
  </si>
  <si>
    <t xml:space="preserve">                  Result Sheet</t>
  </si>
  <si>
    <t>AVERAGE</t>
  </si>
  <si>
    <t>CLASS</t>
  </si>
  <si>
    <t>MODULE   101</t>
  </si>
  <si>
    <t>MODULE   102</t>
  </si>
  <si>
    <t>MODULE   103</t>
  </si>
  <si>
    <t>MODULE   104</t>
  </si>
  <si>
    <t>MODULE   105</t>
  </si>
  <si>
    <t>MODULE   106</t>
  </si>
  <si>
    <t>MODULE   107</t>
  </si>
  <si>
    <t>MODULE   108</t>
  </si>
  <si>
    <t>MODULE   109</t>
  </si>
  <si>
    <t>MODULE   110</t>
  </si>
  <si>
    <t>MODULE   111</t>
  </si>
  <si>
    <t>MODULE   112</t>
  </si>
  <si>
    <t>MODULE   113</t>
  </si>
  <si>
    <t>MODULE   114</t>
  </si>
  <si>
    <t>MODULE   115</t>
  </si>
  <si>
    <t>MODULE   116</t>
  </si>
  <si>
    <t>MODULE   117</t>
  </si>
  <si>
    <t>MODULE   118</t>
  </si>
  <si>
    <t>MODULE   119</t>
  </si>
  <si>
    <t>MODULE   120</t>
  </si>
  <si>
    <t>MODULE   121</t>
  </si>
  <si>
    <t>MODULE   122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</si>
  <si>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</si>
  <si>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</si>
  <si>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</si>
  <si>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</si>
  <si>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</si>
  <si>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</si>
  <si>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</si>
  <si>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</si>
  <si>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</si>
  <si>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AB</t>
  </si>
  <si>
    <t>Ordinay Pass</t>
  </si>
  <si>
    <t>NC</t>
  </si>
  <si>
    <t>Not Completed</t>
  </si>
  <si>
    <t>Second Class</t>
  </si>
  <si>
    <t>(85-100 = A+ / 80-84  =  A  / 75-79  =  A- / 70-74  =  B+ / 65-69  =  B / 60-64  =  B- / 55-59=C+ / 50-54 = C / 45-49 = C- / 40-44 = D+ / 35-39 = D / 0-34  =  F)</t>
  </si>
  <si>
    <t xml:space="preserve">         1st Semester Exam  - 19 and 26 May 2025                            2nd Semester Exam  -  17 and 24 October  2025</t>
  </si>
  <si>
    <t>Imi Hamilage Upul Nishantha Jayasundara</t>
  </si>
  <si>
    <t>770230942 V</t>
  </si>
  <si>
    <t>24/CDML/CO/01</t>
  </si>
  <si>
    <t>24/CDML/CO/02</t>
  </si>
  <si>
    <t>24/CDML/CO/03</t>
  </si>
  <si>
    <t>24/CDML/CO/04</t>
  </si>
  <si>
    <t>24/CDML/CO/05</t>
  </si>
  <si>
    <t>24/CDML/CO/06</t>
  </si>
  <si>
    <t>24/CDML/CO/07</t>
  </si>
  <si>
    <t>24/CDML/CO/08</t>
  </si>
  <si>
    <t>24/CDML/CO/09</t>
  </si>
  <si>
    <t>24/CDML/CO/10</t>
  </si>
  <si>
    <t>24/CDML/CO/11</t>
  </si>
  <si>
    <t>Ganehi Achchillage Champika Prasad Gunasekara</t>
  </si>
  <si>
    <t>782652419 V</t>
  </si>
  <si>
    <t>Jayasinghe Mudhalige Dayani Jayasingha</t>
  </si>
  <si>
    <t>805673532 V</t>
  </si>
  <si>
    <t>Gnanapragasam Sugirthavani</t>
  </si>
  <si>
    <t>828431536 V</t>
  </si>
  <si>
    <t>Liyana Lekamge Dilmini Prabhashini</t>
  </si>
  <si>
    <t>767573359 V</t>
  </si>
  <si>
    <t>Ekanayaka Mudiyanselage Pathma Priyangika Ekanayaka</t>
  </si>
  <si>
    <t>827210838 V</t>
  </si>
  <si>
    <t>Galpola Vidanelage Rukman Ranjith Kumara</t>
  </si>
  <si>
    <t>780433701 V</t>
  </si>
  <si>
    <t>Kiramba Kankanamge Indrani Kumari</t>
  </si>
  <si>
    <t>Ahangama Merenchige Shaseela Gayan Hasantha De Silva</t>
  </si>
  <si>
    <t>811264458 V</t>
  </si>
  <si>
    <t>Maddumage Darshani Anuradha Dissanayaka</t>
  </si>
  <si>
    <t>755440027 V</t>
  </si>
  <si>
    <t>Place</t>
  </si>
  <si>
    <t xml:space="preserve"> Diploma in Leadership &amp; Management - Academic Year 2024/2025</t>
  </si>
  <si>
    <t>M</t>
  </si>
  <si>
    <t>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</si>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</sst>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top"/>
    </xf>
    <xf numFmtId="0" fontId="6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1" xfId="0" applyBorder="1"/>
    <xf numFmtId="0" fontId="0" fillId="0" borderId="7" xfId="0" quotePrefix="1" applyBorder="1" applyAlignment="1">
      <alignment horizontal="center" vertical="top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textRotation="90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A18"/>
  <sheetViews>
    <sheetView tabSelected="1" zoomScale="80" zoomScaleNormal="80" zoomScaleSheetLayoutView="80" workbookViewId="0">
      <selection activeCell="BC7" sqref="BC7"/>
    </sheetView>
  </sheetViews>
  <sheetFormatPr defaultRowHeight="14.4" x14ac:dyDescent="0.3"/>
  <cols>
    <col min="1" max="1" width="4.5546875" customWidth="1"/>
    <col min="2" max="2" width="5" customWidth="1"/>
    <col min="3" max="3" width="22.88671875" customWidth="1"/>
    <col min="4" max="4" width="13.6640625" customWidth="1"/>
    <col min="5" max="5" width="17.5546875" customWidth="1"/>
    <col min="6" max="49" width="3" customWidth="1"/>
    <col min="50" max="50" width="6.109375" customWidth="1"/>
    <col min="51" max="51" width="5.109375" customWidth="1"/>
    <col min="52" max="52" width="10.44140625" customWidth="1"/>
  </cols>
  <sheetData>
    <row r="1" spans="2:53" s="16" customFormat="1" ht="17.25" customHeight="1" x14ac:dyDescent="0.3"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</row>
    <row r="2" spans="2:53" s="16" customFormat="1" ht="20.25" customHeight="1" x14ac:dyDescent="0.3">
      <c r="B2" s="40" t="s">
        <v>81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</row>
    <row r="3" spans="2:53" s="16" customFormat="1" ht="23.25" customHeight="1" x14ac:dyDescent="0.3">
      <c r="B3" s="42" t="s">
        <v>49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</row>
    <row r="4" spans="2:53" s="16" customFormat="1" ht="18" customHeight="1" x14ac:dyDescent="0.3">
      <c r="B4" s="42" t="s">
        <v>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</row>
    <row r="5" spans="2:53" s="16" customFormat="1" ht="21.75" customHeight="1" x14ac:dyDescent="0.3">
      <c r="B5" s="44" t="s">
        <v>48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</row>
    <row r="6" spans="2:53" ht="69.75" customHeight="1" x14ac:dyDescent="0.3">
      <c r="B6" s="48" t="s">
        <v>84</v>
      </c>
      <c r="C6" s="48" t="s">
        <v>1</v>
      </c>
      <c r="D6" s="47" t="s">
        <v>2</v>
      </c>
      <c r="E6" s="48" t="s">
        <v>3</v>
      </c>
      <c r="F6" s="46" t="s">
        <v>12</v>
      </c>
      <c r="G6" s="46"/>
      <c r="H6" s="46" t="s">
        <v>13</v>
      </c>
      <c r="I6" s="46"/>
      <c r="J6" s="46" t="s">
        <v>14</v>
      </c>
      <c r="K6" s="46"/>
      <c r="L6" s="46" t="s">
        <v>15</v>
      </c>
      <c r="M6" s="46"/>
      <c r="N6" s="46" t="s">
        <v>16</v>
      </c>
      <c r="O6" s="46"/>
      <c r="P6" s="46" t="s">
        <v>17</v>
      </c>
      <c r="Q6" s="46"/>
      <c r="R6" s="46" t="s">
        <v>18</v>
      </c>
      <c r="S6" s="46"/>
      <c r="T6" s="46" t="s">
        <v>19</v>
      </c>
      <c r="U6" s="46"/>
      <c r="V6" s="46" t="s">
        <v>20</v>
      </c>
      <c r="W6" s="46"/>
      <c r="X6" s="46" t="s">
        <v>21</v>
      </c>
      <c r="Y6" s="46"/>
      <c r="Z6" s="46" t="s">
        <v>22</v>
      </c>
      <c r="AA6" s="46"/>
      <c r="AB6" s="46" t="s">
        <v>23</v>
      </c>
      <c r="AC6" s="46"/>
      <c r="AD6" s="46" t="s">
        <v>24</v>
      </c>
      <c r="AE6" s="46"/>
      <c r="AF6" s="46" t="s">
        <v>25</v>
      </c>
      <c r="AG6" s="46"/>
      <c r="AH6" s="46" t="s">
        <v>26</v>
      </c>
      <c r="AI6" s="46"/>
      <c r="AJ6" s="46" t="s">
        <v>27</v>
      </c>
      <c r="AK6" s="46"/>
      <c r="AL6" s="46" t="s">
        <v>28</v>
      </c>
      <c r="AM6" s="46"/>
      <c r="AN6" s="46" t="s">
        <v>29</v>
      </c>
      <c r="AO6" s="46"/>
      <c r="AP6" s="46" t="s">
        <v>30</v>
      </c>
      <c r="AQ6" s="46"/>
      <c r="AR6" s="46" t="s">
        <v>31</v>
      </c>
      <c r="AS6" s="46"/>
      <c r="AT6" s="46" t="s">
        <v>32</v>
      </c>
      <c r="AU6" s="46"/>
      <c r="AV6" s="46" t="s">
        <v>33</v>
      </c>
      <c r="AW6" s="46"/>
      <c r="AX6" s="46" t="s">
        <v>4</v>
      </c>
      <c r="AY6" s="46" t="s">
        <v>10</v>
      </c>
      <c r="AZ6" s="46" t="s">
        <v>11</v>
      </c>
      <c r="BA6" s="49" t="s">
        <v>80</v>
      </c>
    </row>
    <row r="7" spans="2:53" ht="55.5" customHeight="1" x14ac:dyDescent="0.3">
      <c r="B7" s="48"/>
      <c r="C7" s="48"/>
      <c r="D7" s="47"/>
      <c r="E7" s="48"/>
      <c r="F7" s="39" t="s">
        <v>82</v>
      </c>
      <c r="G7" s="39" t="s">
        <v>83</v>
      </c>
      <c r="H7" s="39" t="s">
        <v>82</v>
      </c>
      <c r="I7" s="39" t="s">
        <v>83</v>
      </c>
      <c r="J7" s="39" t="s">
        <v>82</v>
      </c>
      <c r="K7" s="39" t="s">
        <v>83</v>
      </c>
      <c r="L7" s="39" t="s">
        <v>82</v>
      </c>
      <c r="M7" s="39" t="s">
        <v>83</v>
      </c>
      <c r="N7" s="39" t="s">
        <v>82</v>
      </c>
      <c r="O7" s="39" t="s">
        <v>83</v>
      </c>
      <c r="P7" s="39" t="s">
        <v>82</v>
      </c>
      <c r="Q7" s="39" t="s">
        <v>83</v>
      </c>
      <c r="R7" s="39" t="s">
        <v>82</v>
      </c>
      <c r="S7" s="39" t="s">
        <v>83</v>
      </c>
      <c r="T7" s="39" t="s">
        <v>82</v>
      </c>
      <c r="U7" s="39" t="s">
        <v>83</v>
      </c>
      <c r="V7" s="39" t="s">
        <v>82</v>
      </c>
      <c r="W7" s="39" t="s">
        <v>83</v>
      </c>
      <c r="X7" s="39" t="s">
        <v>82</v>
      </c>
      <c r="Y7" s="39" t="s">
        <v>83</v>
      </c>
      <c r="Z7" s="39" t="s">
        <v>82</v>
      </c>
      <c r="AA7" s="39" t="s">
        <v>83</v>
      </c>
      <c r="AB7" s="39" t="s">
        <v>82</v>
      </c>
      <c r="AC7" s="39" t="s">
        <v>83</v>
      </c>
      <c r="AD7" s="39" t="s">
        <v>82</v>
      </c>
      <c r="AE7" s="39" t="s">
        <v>83</v>
      </c>
      <c r="AF7" s="39" t="s">
        <v>82</v>
      </c>
      <c r="AG7" s="39" t="s">
        <v>83</v>
      </c>
      <c r="AH7" s="39" t="s">
        <v>82</v>
      </c>
      <c r="AI7" s="39" t="s">
        <v>83</v>
      </c>
      <c r="AJ7" s="39" t="s">
        <v>82</v>
      </c>
      <c r="AK7" s="39" t="s">
        <v>83</v>
      </c>
      <c r="AL7" s="39" t="s">
        <v>82</v>
      </c>
      <c r="AM7" s="39" t="s">
        <v>83</v>
      </c>
      <c r="AN7" s="39" t="s">
        <v>82</v>
      </c>
      <c r="AO7" s="39" t="s">
        <v>83</v>
      </c>
      <c r="AP7" s="39" t="s">
        <v>82</v>
      </c>
      <c r="AQ7" s="39" t="s">
        <v>83</v>
      </c>
      <c r="AR7" s="39" t="s">
        <v>82</v>
      </c>
      <c r="AS7" s="39" t="s">
        <v>83</v>
      </c>
      <c r="AT7" s="39" t="s">
        <v>82</v>
      </c>
      <c r="AU7" s="39" t="s">
        <v>83</v>
      </c>
      <c r="AV7" s="39" t="s">
        <v>82</v>
      </c>
      <c r="AW7" s="39" t="s">
        <v>83</v>
      </c>
      <c r="AX7" s="46"/>
      <c r="AY7" s="46"/>
      <c r="AZ7" s="46"/>
      <c r="BA7" s="49"/>
    </row>
    <row r="8" spans="2:53" ht="55.5" customHeight="1" x14ac:dyDescent="0.3">
      <c r="B8" s="30" t="s">
        <v>34</v>
      </c>
      <c r="C8" s="31" t="s">
        <v>50</v>
      </c>
      <c r="D8" s="32" t="s">
        <v>51</v>
      </c>
      <c r="E8" s="33" t="s">
        <v>52</v>
      </c>
      <c r="F8" s="34">
        <v>65</v>
      </c>
      <c r="G8" s="11" t="str">
        <f>IF(F8="-", "Absent", IF(F8&gt;=85, "A+", IF(F8&gt;=80, "A", IF(F8&gt;=75, "A-", IF(F8&gt;=70, "B+",IF(F8&gt;=65, "B", IF(F8&gt;=60, "B-", IF(F8&gt;=55, "C+", IF(F8&gt;=50, "C", IF(F8&gt;=45, "C-", IF(F8&gt;=39, "D+", IF(F8&gt;=35, "D", IF(F8&gt;=0, "F" )))))))))))))</f>
        <v>B</v>
      </c>
      <c r="H8" s="34">
        <v>60</v>
      </c>
      <c r="I8" s="11" t="str">
        <f>IF(H8="-", "Absent", IF(H8&gt;=85, "A+", IF(H8&gt;=80, "A", IF(H8&gt;=75, "A-", IF(H8&gt;=70, "B+",IF(H8&gt;=65, "B", IF(H8&gt;=60, "B-", IF(H8&gt;=55, "C+", IF(H8&gt;=50, "C", IF(H8&gt;=45, "C-", IF(H8&gt;=39, "D+", IF(H8&gt;=35, "D", IF(H8&gt;=0, "F" )))))))))))))</f>
        <v>B-</v>
      </c>
      <c r="J8" s="34">
        <v>37</v>
      </c>
      <c r="K8" s="11" t="str">
        <f>IF(J8="-", "Absent", IF(J8&gt;=85, "A+", IF(J8&gt;=80, "A", IF(J8&gt;=75, "A-", IF(J8&gt;=70, "B+",IF(J8&gt;=65, "B", IF(J8&gt;=60, "B-", IF(J8&gt;=55, "C+", IF(J8&gt;=50, "C", IF(J8&gt;=45, "C-", IF(J8&gt;=39, "D+", IF(J8&gt;=35, "D", IF(J8&gt;=0, "F" )))))))))))))</f>
        <v>D</v>
      </c>
      <c r="L8" s="34">
        <v>45</v>
      </c>
      <c r="M8" s="11" t="str">
        <f>IF(L8="-", "Absent", IF(L8&gt;=85, "A+", IF(L8&gt;=80, "A", IF(L8&gt;=75, "A-", IF(L8&gt;=70, "B+",IF(L8&gt;=65, "B", IF(L8&gt;=60, "B-", IF(L8&gt;=55, "C+", IF(L8&gt;=50, "C", IF(L8&gt;=45, "C-", IF(L8&gt;=39, "D+", IF(L8&gt;=35, "D", IF(L8&gt;=0, "F" )))))))))))))</f>
        <v>C-</v>
      </c>
      <c r="N8" s="34">
        <v>41</v>
      </c>
      <c r="O8" s="11" t="str">
        <f>IF(N8="-", "Absent", IF(N8&gt;=85, "A+", IF(N8&gt;=80, "A", IF(N8&gt;=75, "A-", IF(N8&gt;=70, "B+",IF(N8&gt;=65, "B", IF(N8&gt;=60, "B-", IF(N8&gt;=55, "C+", IF(N8&gt;=50, "C", IF(N8&gt;=45, "C-", IF(N8&gt;=39, "D+", IF(N8&gt;=35, "D", IF(N8&gt;=0, "F" )))))))))))))</f>
        <v>D+</v>
      </c>
      <c r="P8" s="34">
        <v>40</v>
      </c>
      <c r="Q8" s="11" t="str">
        <f>IF(P8="-", "Absent", IF(P8&gt;=85, "A+", IF(P8&gt;=80, "A", IF(P8&gt;=75, "A-", IF(P8&gt;=70, "B+",IF(P8&gt;=65, "B", IF(P8&gt;=60, "B-", IF(P8&gt;=55, "C+", IF(P8&gt;=50, "C", IF(P8&gt;=45, "C-", IF(P8&gt;=39, "D+", IF(P8&gt;=35, "D", IF(P8&gt;=0, "F" )))))))))))))</f>
        <v>D+</v>
      </c>
      <c r="R8" s="35">
        <v>37</v>
      </c>
      <c r="S8" s="11" t="str">
        <f>IF(R8="-", "Absent", IF(R8&gt;=85, "A+", IF(R8&gt;=80, "A", IF(R8&gt;=75, "A-", IF(R8&gt;=70, "B+",IF(R8&gt;=65, "B", IF(R8&gt;=60, "B-", IF(R8&gt;=55, "C+", IF(R8&gt;=50, "C", IF(R8&gt;=45, "C-", IF(R8&gt;=39, "D+", IF(R8&gt;=35, "D", IF(R8&gt;=0, "F" )))))))))))))</f>
        <v>D</v>
      </c>
      <c r="T8" s="35">
        <v>65</v>
      </c>
      <c r="U8" s="11" t="str">
        <f>IF(T8="-", "Absent", IF(T8&gt;=85, "A+", IF(T8&gt;=80, "A", IF(T8&gt;=75, "A-", IF(T8&gt;=70, "B+",IF(T8&gt;=65, "B", IF(T8&gt;=60, "B-", IF(T8&gt;=55, "C+", IF(T8&gt;=50, "C", IF(T8&gt;=45, "C-", IF(T8&gt;=39, "D+", IF(T8&gt;=35, "D", IF(T8&gt;=0, "F" )))))))))))))</f>
        <v>B</v>
      </c>
      <c r="V8" s="35">
        <v>37</v>
      </c>
      <c r="W8" s="11" t="str">
        <f>IF(V8="-", "Absent", IF(V8&gt;=85, "A+", IF(V8&gt;=80, "A", IF(V8&gt;=75, "A-", IF(V8&gt;=70, "B+",IF(V8&gt;=65, "B", IF(V8&gt;=60, "B-", IF(V8&gt;=55, "C+", IF(V8&gt;=50, "C", IF(V8&gt;=45, "C-", IF(V8&gt;=39, "D+", IF(V8&gt;=35, "D", IF(V8&gt;=0, "F" )))))))))))))</f>
        <v>D</v>
      </c>
      <c r="X8" s="34">
        <v>38</v>
      </c>
      <c r="Y8" s="11" t="str">
        <f>IF(X8="-", "Absent", IF(X8&gt;=85, "A+", IF(X8&gt;=80, "A", IF(X8&gt;=75, "A-", IF(X8&gt;=70, "B+",IF(X8&gt;=65, "B", IF(X8&gt;=60, "B-", IF(X8&gt;=55, "C+", IF(X8&gt;=50, "C", IF(X8&gt;=45, "C-", IF(X8&gt;=39, "D+", IF(X8&gt;=35, "D", IF(X8&gt;=0, "F" )))))))))))))</f>
        <v>D</v>
      </c>
      <c r="Z8" s="35">
        <v>49</v>
      </c>
      <c r="AA8" s="11" t="str">
        <f>IF(Z8="-", "Absent", IF(Z8&gt;=85, "A+", IF(Z8&gt;=80, "A", IF(Z8&gt;=75, "A-", IF(Z8&gt;=70, "B+",IF(Z8&gt;=65, "B", IF(Z8&gt;=60, "B-", IF(Z8&gt;=55, "C+", IF(Z8&gt;=50, "C", IF(Z8&gt;=45, "C-", IF(Z8&gt;=39, "D+", IF(Z8&gt;=35, "D", IF(Z8&gt;=0, "F" )))))))))))))</f>
        <v>C-</v>
      </c>
      <c r="AB8" s="35">
        <v>39</v>
      </c>
      <c r="AC8" s="11" t="str">
        <f>IF(AB8="-", "Absent", IF(AB8&gt;=85, "A+", IF(AB8&gt;=80, "A", IF(AB8&gt;=75, "A-", IF(AB8&gt;=70, "B+",IF(AB8&gt;=65, "B", IF(AB8&gt;=60, "B-", IF(AB8&gt;=55, "C+", IF(AB8&gt;=50, "C", IF(AB8&gt;=45, "C-", IF(AB8&gt;=40, "D+", IF(AB8&gt;=35, "D", IF(AB8&gt;=0, "F" )))))))))))))</f>
        <v>D</v>
      </c>
      <c r="AD8" s="35">
        <v>54</v>
      </c>
      <c r="AE8" s="11" t="str">
        <f>IF(AD8="-", "Absent", IF(AD8&gt;=85, "A+", IF(AD8&gt;=80, "A", IF(AD8&gt;=75, "A-", IF(AD8&gt;=70, "B+",IF(AD8&gt;=65, "B", IF(AD8&gt;=60, "B-", IF(AD8&gt;=55, "C+", IF(AD8&gt;=50, "C", IF(AD8&gt;=45, "C-", IF(AD8&gt;=39, "D+", IF(AD8&gt;=35, "D", IF(AD8&gt;=0, "F" )))))))))))))</f>
        <v>C</v>
      </c>
      <c r="AF8" s="35">
        <v>44</v>
      </c>
      <c r="AG8" s="11" t="str">
        <f>IF(AF8="-", "Absent", IF(AF8&gt;=85, "A+", IF(AF8&gt;=80, "A", IF(AF8&gt;=75, "A-", IF(AF8&gt;=70, "B+",IF(AF8&gt;=65, "B", IF(AF8&gt;=60, "B-", IF(AF8&gt;=55, "C+", IF(AF8&gt;=50, "C", IF(AF8&gt;=45, "C-", IF(AF8&gt;=39, "D+", IF(AF8&gt;=35, "D", IF(AF8&gt;=0, "F" )))))))))))))</f>
        <v>D+</v>
      </c>
      <c r="AH8" s="35">
        <v>35</v>
      </c>
      <c r="AI8" s="11" t="str">
        <f>IF(AH8="-", "Absent", IF(AH8&gt;=85, "A+", IF(AH8&gt;=80, "A", IF(AH8&gt;=75, "A-", IF(AH8&gt;=70, "B+",IF(AH8&gt;=65, "B", IF(AH8&gt;=60, "B-", IF(AH8&gt;=55, "C+", IF(AH8&gt;=50, "C", IF(AH8&gt;=45, "C-", IF(AH8&gt;=39, "D+", IF(AH8&gt;=35, "D", IF(AH8&gt;=0, "F" )))))))))))))</f>
        <v>D</v>
      </c>
      <c r="AJ8" s="35">
        <v>35</v>
      </c>
      <c r="AK8" s="11" t="str">
        <f>IF(AJ8="-", "Absent", IF(AJ8&gt;=85, "A+", IF(AJ8&gt;=80, "A", IF(AJ8&gt;=75, "A-", IF(AJ8&gt;=70, "B+",IF(AJ8&gt;=65, "B", IF(AJ8&gt;=60, "B-", IF(AJ8&gt;=55, "C+", IF(AJ8&gt;=50, "C", IF(AJ8&gt;=45, "C-", IF(AJ8&gt;=39, "D+", IF(AJ8&gt;=35, "D", IF(AJ8&gt;=0, "F" )))))))))))))</f>
        <v>D</v>
      </c>
      <c r="AL8" s="34">
        <v>37</v>
      </c>
      <c r="AM8" s="11" t="str">
        <f>IF(AL8="-", "Absent", IF(AL8&gt;=85, "A+", IF(AL8&gt;=80, "A", IF(AL8&gt;=75, "A-", IF(AL8&gt;=70, "B+",IF(AL8&gt;=65, "B", IF(AL8&gt;=60, "B-", IF(AL8&gt;=55, "C+", IF(AL8&gt;=50, "C", IF(AL8&gt;=45, "C-", IF(AL8&gt;=39, "D+", IF(AL8&gt;=35, "D", IF(AL8&gt;=0, "F" )))))))))))))</f>
        <v>D</v>
      </c>
      <c r="AN8" s="34">
        <v>24</v>
      </c>
      <c r="AO8" s="11" t="str">
        <f>IF(AN8="-", "Absent", IF(AN8&gt;=85, "A+", IF(AN8&gt;=80, "A", IF(AN8&gt;=75, "A-", IF(AN8&gt;=70, "B+",IF(AN8&gt;=65, "B", IF(AN8&gt;=60, "B-", IF(AN8&gt;=55, "C+", IF(AN8&gt;=50, "C", IF(AN8&gt;=45, "C-", IF(AN8&gt;=39, "D+", IF(AN8&gt;=35, "D", IF(AN8&gt;=0, "F" )))))))))))))</f>
        <v>F</v>
      </c>
      <c r="AP8" s="35">
        <v>34</v>
      </c>
      <c r="AQ8" s="11" t="str">
        <f>IF(AP8="-", "Absent", IF(AP8&gt;=85, "A+", IF(AP8&gt;=80, "A", IF(AP8&gt;=75, "A-", IF(AP8&gt;=70, "B+",IF(AP8&gt;=65, "B", IF(AP8&gt;=60, "B-", IF(AP8&gt;=55, "C+", IF(AP8&gt;=50, "C", IF(AP8&gt;=45, "C-", IF(AP8&gt;=39, "D+", IF(AP8&gt;=35, "D", IF(AP8&gt;=0, "F" )))))))))))))</f>
        <v>F</v>
      </c>
      <c r="AR8" s="35">
        <v>30</v>
      </c>
      <c r="AS8" s="11" t="str">
        <f>IF(AR8="-", "Absent", IF(AR8&gt;=85, "A+", IF(AR8&gt;=80, "A", IF(AR8&gt;=75, "A-", IF(AR8&gt;=70, "B+",IF(AR8&gt;=65, "B", IF(AR8&gt;=60, "B-", IF(AR8&gt;=55, "C+", IF(AR8&gt;=50, "C", IF(AR8&gt;=45, "C-", IF(AR8&gt;=39, "D+", IF(AR8&gt;=35, "D", IF(AR8&gt;=0, "F" )))))))))))))</f>
        <v>F</v>
      </c>
      <c r="AT8" s="35">
        <v>47</v>
      </c>
      <c r="AU8" s="11" t="str">
        <f>IF(AT8="-", "Absent", IF(AT8&gt;=85, "A+", IF(AT8&gt;=80, "A", IF(AT8&gt;=75, "A-", IF(AT8&gt;=70, "B+",IF(AT8&gt;=65, "B", IF(AT8&gt;=60, "B-", IF(AT8&gt;=55, "C+", IF(AT8&gt;=50, "C", IF(AT8&gt;=45, "C-", IF(AT8&gt;=39, "D+", IF(AT8&gt;=35, "D", IF(AT8&gt;=0, "F" )))))))))))))</f>
        <v>C-</v>
      </c>
      <c r="AV8" s="35">
        <v>51</v>
      </c>
      <c r="AW8" s="11" t="str">
        <f>IF(AV8="-", "Absent", IF(AV8&gt;=85, "A+", IF(AV8&gt;=80, "A", IF(AV8&gt;=75, "A-", IF(AV8&gt;=70, "B+",IF(AV8&gt;=65, "B", IF(AV8&gt;=60, "B-", IF(AV8&gt;=55, "C+", IF(AV8&gt;=50, "C", IF(AV8&gt;=45, "C-", IF(AV8&gt;=39, "D+", IF(AV8&gt;=35, "D", IF(AV8&gt;=0, "F" )))))))))))))</f>
        <v>C</v>
      </c>
      <c r="AX8" s="34">
        <f t="shared" ref="AX8:AX18" si="0">SUM(F8+H8+J8+L8+N8+P8+R8+T8+V8+X8+Z8+AB8+AD8+AF8+AH8+AJ8+AL8+AN8+AP8+AR8+AT8+AV8)</f>
        <v>944</v>
      </c>
      <c r="AY8" s="36">
        <f>AX8/22</f>
        <v>42.909090909090907</v>
      </c>
      <c r="AZ8" s="37" t="s">
        <v>44</v>
      </c>
      <c r="BA8" s="38"/>
    </row>
    <row r="9" spans="2:53" ht="57" customHeight="1" x14ac:dyDescent="0.3">
      <c r="B9" s="10" t="s">
        <v>35</v>
      </c>
      <c r="C9" s="1" t="s">
        <v>63</v>
      </c>
      <c r="D9" s="2" t="s">
        <v>64</v>
      </c>
      <c r="E9" s="4" t="s">
        <v>53</v>
      </c>
      <c r="F9" s="23" t="s">
        <v>45</v>
      </c>
      <c r="G9" s="25" t="s">
        <v>45</v>
      </c>
      <c r="H9" s="23" t="s">
        <v>45</v>
      </c>
      <c r="I9" s="25" t="s">
        <v>45</v>
      </c>
      <c r="J9" s="23" t="s">
        <v>45</v>
      </c>
      <c r="K9" s="25" t="s">
        <v>45</v>
      </c>
      <c r="L9" s="23" t="s">
        <v>45</v>
      </c>
      <c r="M9" s="25" t="s">
        <v>45</v>
      </c>
      <c r="N9" s="23" t="s">
        <v>45</v>
      </c>
      <c r="O9" s="25" t="s">
        <v>45</v>
      </c>
      <c r="P9" s="23" t="s">
        <v>45</v>
      </c>
      <c r="Q9" s="25" t="s">
        <v>45</v>
      </c>
      <c r="R9" s="23" t="s">
        <v>45</v>
      </c>
      <c r="S9" s="25" t="s">
        <v>45</v>
      </c>
      <c r="T9" s="23" t="s">
        <v>45</v>
      </c>
      <c r="U9" s="25" t="s">
        <v>45</v>
      </c>
      <c r="V9" s="23" t="s">
        <v>45</v>
      </c>
      <c r="W9" s="25" t="s">
        <v>45</v>
      </c>
      <c r="X9" s="23" t="s">
        <v>45</v>
      </c>
      <c r="Y9" s="25" t="s">
        <v>45</v>
      </c>
      <c r="Z9" s="23" t="s">
        <v>45</v>
      </c>
      <c r="AA9" s="25" t="s">
        <v>45</v>
      </c>
      <c r="AB9" s="23" t="s">
        <v>45</v>
      </c>
      <c r="AC9" s="25" t="s">
        <v>45</v>
      </c>
      <c r="AD9" s="23" t="s">
        <v>45</v>
      </c>
      <c r="AE9" s="25" t="s">
        <v>45</v>
      </c>
      <c r="AF9" s="23" t="s">
        <v>45</v>
      </c>
      <c r="AG9" s="25" t="s">
        <v>45</v>
      </c>
      <c r="AH9" s="23" t="s">
        <v>45</v>
      </c>
      <c r="AI9" s="25" t="s">
        <v>45</v>
      </c>
      <c r="AJ9" s="23" t="s">
        <v>45</v>
      </c>
      <c r="AK9" s="25" t="s">
        <v>45</v>
      </c>
      <c r="AL9" s="23" t="s">
        <v>45</v>
      </c>
      <c r="AM9" s="25" t="s">
        <v>45</v>
      </c>
      <c r="AN9" s="23" t="s">
        <v>45</v>
      </c>
      <c r="AO9" s="25" t="s">
        <v>45</v>
      </c>
      <c r="AP9" s="23" t="s">
        <v>45</v>
      </c>
      <c r="AQ9" s="25" t="s">
        <v>45</v>
      </c>
      <c r="AR9" s="23" t="s">
        <v>45</v>
      </c>
      <c r="AS9" s="25" t="s">
        <v>45</v>
      </c>
      <c r="AT9" s="23" t="s">
        <v>45</v>
      </c>
      <c r="AU9" s="25" t="s">
        <v>45</v>
      </c>
      <c r="AV9" s="23" t="s">
        <v>45</v>
      </c>
      <c r="AW9" s="25" t="s">
        <v>45</v>
      </c>
      <c r="AX9" s="9"/>
      <c r="AY9" s="7"/>
      <c r="AZ9" s="5" t="s">
        <v>46</v>
      </c>
      <c r="BA9" s="29"/>
    </row>
    <row r="10" spans="2:53" ht="42" customHeight="1" x14ac:dyDescent="0.3">
      <c r="B10" s="10" t="s">
        <v>36</v>
      </c>
      <c r="C10" s="1" t="s">
        <v>65</v>
      </c>
      <c r="D10" s="2" t="s">
        <v>66</v>
      </c>
      <c r="E10" s="4" t="s">
        <v>54</v>
      </c>
      <c r="F10" s="9">
        <v>61</v>
      </c>
      <c r="G10" s="11" t="str">
        <f t="shared" ref="G10:G18" si="1">IF(F10="-", "Absent", IF(F10&gt;=85, "A+", IF(F10&gt;=80, "A", IF(F10&gt;=75, "A-", IF(F10&gt;=70, "B+",IF(F10&gt;=65, "B", IF(F10&gt;=60, "B-", IF(F10&gt;=55, "C+", IF(F10&gt;=50, "C", IF(F10&gt;=45, "C-", IF(F10&gt;=39, "D+", IF(F10&gt;=35, "D", IF(F10&gt;=0, "F" )))))))))))))</f>
        <v>B-</v>
      </c>
      <c r="H10" s="9">
        <v>40</v>
      </c>
      <c r="I10" s="11" t="str">
        <f t="shared" ref="I10:I18" si="2">IF(H10="-", "Absent", IF(H10&gt;=85, "A+", IF(H10&gt;=80, "A", IF(H10&gt;=75, "A-", IF(H10&gt;=70, "B+",IF(H10&gt;=65, "B", IF(H10&gt;=60, "B-", IF(H10&gt;=55, "C+", IF(H10&gt;=50, "C", IF(H10&gt;=45, "C-", IF(H10&gt;=39, "D+", IF(H10&gt;=35, "D", IF(H10&gt;=0, "F" )))))))))))))</f>
        <v>D+</v>
      </c>
      <c r="J10" s="9">
        <v>39</v>
      </c>
      <c r="K10" s="11" t="str">
        <f>IF(J10="-", "Absent", IF(J10&gt;=85, "A+", IF(J10&gt;=80, "A", IF(J10&gt;=75, "A-", IF(J10&gt;=70, "B+",IF(J10&gt;=65, "B", IF(J10&gt;=60, "B-", IF(J10&gt;=55, "C+", IF(J10&gt;=50, "C", IF(J10&gt;=45, "C-", IF(J10&gt;=40, "D+", IF(J10&gt;=35, "D", IF(J10&gt;=0, "F" )))))))))))))</f>
        <v>D</v>
      </c>
      <c r="L10" s="9">
        <v>60</v>
      </c>
      <c r="M10" s="11" t="str">
        <f t="shared" ref="M10:M18" si="3">IF(L10="-", "Absent", IF(L10&gt;=85, "A+", IF(L10&gt;=80, "A", IF(L10&gt;=75, "A-", IF(L10&gt;=70, "B+",IF(L10&gt;=65, "B", IF(L10&gt;=60, "B-", IF(L10&gt;=55, "C+", IF(L10&gt;=50, "C", IF(L10&gt;=45, "C-", IF(L10&gt;=39, "D+", IF(L10&gt;=35, "D", IF(L10&gt;=0, "F" )))))))))))))</f>
        <v>B-</v>
      </c>
      <c r="N10" s="8">
        <v>50</v>
      </c>
      <c r="O10" s="13" t="str">
        <f t="shared" ref="O10:O18" si="4">IF(N10="-", "Absent", IF(N10&gt;=85, "A+", IF(N10&gt;=80, "A", IF(N10&gt;=75, "A-", IF(N10&gt;=70, "B+",IF(N10&gt;=65, "B", IF(N10&gt;=60, "B-", IF(N10&gt;=55, "C+", IF(N10&gt;=50, "C", IF(N10&gt;=45, "C-", IF(N10&gt;=39, "D+", IF(N10&gt;=35, "D", IF(N10&gt;=0, "F" )))))))))))))</f>
        <v>C</v>
      </c>
      <c r="P10" s="9">
        <v>30</v>
      </c>
      <c r="Q10" s="11" t="str">
        <f t="shared" ref="Q10:Q18" si="5">IF(P10="-", "Absent", IF(P10&gt;=85, "A+", IF(P10&gt;=80, "A", IF(P10&gt;=75, "A-", IF(P10&gt;=70, "B+",IF(P10&gt;=65, "B", IF(P10&gt;=60, "B-", IF(P10&gt;=55, "C+", IF(P10&gt;=50, "C", IF(P10&gt;=45, "C-", IF(P10&gt;=39, "D+", IF(P10&gt;=35, "D", IF(P10&gt;=0, "F" )))))))))))))</f>
        <v>F</v>
      </c>
      <c r="R10" s="26" t="s">
        <v>43</v>
      </c>
      <c r="S10" s="27" t="s">
        <v>43</v>
      </c>
      <c r="T10" s="9">
        <v>63</v>
      </c>
      <c r="U10" s="11" t="str">
        <f t="shared" ref="U10:U18" si="6">IF(T10="-", "Absent", IF(T10&gt;=85, "A+", IF(T10&gt;=80, "A", IF(T10&gt;=75, "A-", IF(T10&gt;=70, "B+",IF(T10&gt;=65, "B", IF(T10&gt;=60, "B-", IF(T10&gt;=55, "C+", IF(T10&gt;=50, "C", IF(T10&gt;=45, "C-", IF(T10&gt;=39, "D+", IF(T10&gt;=35, "D", IF(T10&gt;=0, "F" )))))))))))))</f>
        <v>B-</v>
      </c>
      <c r="V10" s="9">
        <v>41</v>
      </c>
      <c r="W10" s="11" t="str">
        <f t="shared" ref="W10:W18" si="7">IF(V10="-", "Absent", IF(V10&gt;=85, "A+", IF(V10&gt;=80, "A", IF(V10&gt;=75, "A-", IF(V10&gt;=70, "B+",IF(V10&gt;=65, "B", IF(V10&gt;=60, "B-", IF(V10&gt;=55, "C+", IF(V10&gt;=50, "C", IF(V10&gt;=45, "C-", IF(V10&gt;=39, "D+", IF(V10&gt;=35, "D", IF(V10&gt;=0, "F" )))))))))))))</f>
        <v>D+</v>
      </c>
      <c r="X10" s="9">
        <v>35</v>
      </c>
      <c r="Y10" s="11" t="str">
        <f t="shared" ref="Y10:Y18" si="8">IF(X10="-", "Absent", IF(X10&gt;=85, "A+", IF(X10&gt;=80, "A", IF(X10&gt;=75, "A-", IF(X10&gt;=70, "B+",IF(X10&gt;=65, "B", IF(X10&gt;=60, "B-", IF(X10&gt;=55, "C+", IF(X10&gt;=50, "C", IF(X10&gt;=45, "C-", IF(X10&gt;=39, "D+", IF(X10&gt;=35, "D", IF(X10&gt;=0, "F" )))))))))))))</f>
        <v>D</v>
      </c>
      <c r="Z10" s="9">
        <v>38</v>
      </c>
      <c r="AA10" s="11" t="str">
        <f t="shared" ref="AA10:AA18" si="9">IF(Z10="-", "Absent", IF(Z10&gt;=85, "A+", IF(Z10&gt;=80, "A", IF(Z10&gt;=75, "A-", IF(Z10&gt;=70, "B+",IF(Z10&gt;=65, "B", IF(Z10&gt;=60, "B-", IF(Z10&gt;=55, "C+", IF(Z10&gt;=50, "C", IF(Z10&gt;=45, "C-", IF(Z10&gt;=39, "D+", IF(Z10&gt;=35, "D", IF(Z10&gt;=0, "F" )))))))))))))</f>
        <v>D</v>
      </c>
      <c r="AB10" s="9" t="s">
        <v>43</v>
      </c>
      <c r="AC10" s="14" t="s">
        <v>43</v>
      </c>
      <c r="AD10" s="9" t="s">
        <v>43</v>
      </c>
      <c r="AE10" s="14" t="s">
        <v>43</v>
      </c>
      <c r="AF10" s="9" t="s">
        <v>43</v>
      </c>
      <c r="AG10" s="14" t="s">
        <v>43</v>
      </c>
      <c r="AH10" s="9" t="s">
        <v>43</v>
      </c>
      <c r="AI10" s="14" t="s">
        <v>43</v>
      </c>
      <c r="AJ10" s="9" t="s">
        <v>43</v>
      </c>
      <c r="AK10" s="14" t="s">
        <v>43</v>
      </c>
      <c r="AL10" s="9" t="s">
        <v>43</v>
      </c>
      <c r="AM10" s="14" t="s">
        <v>43</v>
      </c>
      <c r="AN10" s="9" t="s">
        <v>43</v>
      </c>
      <c r="AO10" s="14" t="s">
        <v>43</v>
      </c>
      <c r="AP10" s="9" t="s">
        <v>43</v>
      </c>
      <c r="AQ10" s="14" t="s">
        <v>43</v>
      </c>
      <c r="AR10" s="9" t="s">
        <v>43</v>
      </c>
      <c r="AS10" s="14" t="s">
        <v>43</v>
      </c>
      <c r="AT10" s="9" t="s">
        <v>43</v>
      </c>
      <c r="AU10" s="14" t="s">
        <v>43</v>
      </c>
      <c r="AV10" s="9" t="s">
        <v>43</v>
      </c>
      <c r="AW10" s="14" t="s">
        <v>43</v>
      </c>
      <c r="AX10" s="9"/>
      <c r="AY10" s="7"/>
      <c r="AZ10" s="5" t="s">
        <v>46</v>
      </c>
      <c r="BA10" s="29"/>
    </row>
    <row r="11" spans="2:53" ht="54.75" customHeight="1" x14ac:dyDescent="0.3">
      <c r="B11" s="10" t="s">
        <v>37</v>
      </c>
      <c r="C11" s="1" t="s">
        <v>67</v>
      </c>
      <c r="D11" s="2" t="s">
        <v>68</v>
      </c>
      <c r="E11" s="4" t="s">
        <v>55</v>
      </c>
      <c r="F11" s="9">
        <v>48</v>
      </c>
      <c r="G11" s="11" t="str">
        <f t="shared" si="1"/>
        <v>C-</v>
      </c>
      <c r="H11" s="9">
        <v>75</v>
      </c>
      <c r="I11" s="11" t="str">
        <f t="shared" si="2"/>
        <v>A-</v>
      </c>
      <c r="J11" s="9">
        <v>65</v>
      </c>
      <c r="K11" s="11" t="str">
        <f t="shared" ref="K11:K18" si="10">IF(J11="-", "Absent", IF(J11&gt;=85, "A+", IF(J11&gt;=80, "A", IF(J11&gt;=75, "A-", IF(J11&gt;=70, "B+",IF(J11&gt;=65, "B", IF(J11&gt;=60, "B-", IF(J11&gt;=55, "C+", IF(J11&gt;=50, "C", IF(J11&gt;=45, "C-", IF(J11&gt;=39, "D+", IF(J11&gt;=35, "D", IF(J11&gt;=0, "F" )))))))))))))</f>
        <v>B</v>
      </c>
      <c r="L11" s="9">
        <v>54</v>
      </c>
      <c r="M11" s="11" t="str">
        <f t="shared" si="3"/>
        <v>C</v>
      </c>
      <c r="N11" s="9">
        <v>65</v>
      </c>
      <c r="O11" s="11" t="str">
        <f t="shared" si="4"/>
        <v>B</v>
      </c>
      <c r="P11" s="9">
        <v>58</v>
      </c>
      <c r="Q11" s="11" t="str">
        <f t="shared" si="5"/>
        <v>C+</v>
      </c>
      <c r="R11" s="9">
        <v>64</v>
      </c>
      <c r="S11" s="11" t="str">
        <f t="shared" ref="S11:S18" si="11">IF(R11="-", "Absent", IF(R11&gt;=85, "A+", IF(R11&gt;=80, "A", IF(R11&gt;=75, "A-", IF(R11&gt;=70, "B+",IF(R11&gt;=65, "B", IF(R11&gt;=60, "B-", IF(R11&gt;=55, "C+", IF(R11&gt;=50, "C", IF(R11&gt;=45, "C-", IF(R11&gt;=39, "D+", IF(R11&gt;=35, "D", IF(R11&gt;=0, "F" )))))))))))))</f>
        <v>B-</v>
      </c>
      <c r="T11" s="9">
        <v>74</v>
      </c>
      <c r="U11" s="11" t="str">
        <f t="shared" si="6"/>
        <v>B+</v>
      </c>
      <c r="V11" s="9">
        <v>65</v>
      </c>
      <c r="W11" s="11" t="str">
        <f t="shared" si="7"/>
        <v>B</v>
      </c>
      <c r="X11" s="9">
        <v>72</v>
      </c>
      <c r="Y11" s="11" t="str">
        <f t="shared" si="8"/>
        <v>B+</v>
      </c>
      <c r="Z11" s="9">
        <v>75</v>
      </c>
      <c r="AA11" s="11" t="str">
        <f t="shared" si="9"/>
        <v>A-</v>
      </c>
      <c r="AB11" s="9">
        <v>63</v>
      </c>
      <c r="AC11" s="11" t="str">
        <f t="shared" ref="AC11:AC18" si="12">IF(AB11="-", "Absent", IF(AB11&gt;=85, "A+", IF(AB11&gt;=80, "A", IF(AB11&gt;=75, "A-", IF(AB11&gt;=70, "B+",IF(AB11&gt;=65, "B", IF(AB11&gt;=60, "B-", IF(AB11&gt;=55, "C+", IF(AB11&gt;=50, "C", IF(AB11&gt;=45, "C-", IF(AB11&gt;=39, "D+", IF(AB11&gt;=35, "D", IF(AB11&gt;=0, "F" )))))))))))))</f>
        <v>B-</v>
      </c>
      <c r="AD11" s="9">
        <v>62</v>
      </c>
      <c r="AE11" s="11" t="str">
        <f t="shared" ref="AE11:AE18" si="13">IF(AD11="-", "Absent", IF(AD11&gt;=85, "A+", IF(AD11&gt;=80, "A", IF(AD11&gt;=75, "A-", IF(AD11&gt;=70, "B+",IF(AD11&gt;=65, "B", IF(AD11&gt;=60, "B-", IF(AD11&gt;=55, "C+", IF(AD11&gt;=50, "C", IF(AD11&gt;=45, "C-", IF(AD11&gt;=39, "D+", IF(AD11&gt;=35, "D", IF(AD11&gt;=0, "F" )))))))))))))</f>
        <v>B-</v>
      </c>
      <c r="AF11" s="9">
        <v>77</v>
      </c>
      <c r="AG11" s="11" t="str">
        <f t="shared" ref="AG11:AG18" si="14">IF(AF11="-", "Absent", IF(AF11&gt;=85, "A+", IF(AF11&gt;=80, "A", IF(AF11&gt;=75, "A-", IF(AF11&gt;=70, "B+",IF(AF11&gt;=65, "B", IF(AF11&gt;=60, "B-", IF(AF11&gt;=55, "C+", IF(AF11&gt;=50, "C", IF(AF11&gt;=45, "C-", IF(AF11&gt;=39, "D+", IF(AF11&gt;=35, "D", IF(AF11&gt;=0, "F" )))))))))))))</f>
        <v>A-</v>
      </c>
      <c r="AH11" s="9">
        <v>63</v>
      </c>
      <c r="AI11" s="11" t="str">
        <f t="shared" ref="AI11:AI18" si="15">IF(AH11="-", "Absent", IF(AH11&gt;=85, "A+", IF(AH11&gt;=80, "A", IF(AH11&gt;=75, "A-", IF(AH11&gt;=70, "B+",IF(AH11&gt;=65, "B", IF(AH11&gt;=60, "B-", IF(AH11&gt;=55, "C+", IF(AH11&gt;=50, "C", IF(AH11&gt;=45, "C-", IF(AH11&gt;=39, "D+", IF(AH11&gt;=35, "D", IF(AH11&gt;=0, "F" )))))))))))))</f>
        <v>B-</v>
      </c>
      <c r="AJ11" s="9">
        <v>60</v>
      </c>
      <c r="AK11" s="11" t="str">
        <f t="shared" ref="AK11:AK18" si="16">IF(AJ11="-", "Absent", IF(AJ11&gt;=85, "A+", IF(AJ11&gt;=80, "A", IF(AJ11&gt;=75, "A-", IF(AJ11&gt;=70, "B+",IF(AJ11&gt;=65, "B", IF(AJ11&gt;=60, "B-", IF(AJ11&gt;=55, "C+", IF(AJ11&gt;=50, "C", IF(AJ11&gt;=45, "C-", IF(AJ11&gt;=39, "D+", IF(AJ11&gt;=35, "D", IF(AJ11&gt;=0, "F" )))))))))))))</f>
        <v>B-</v>
      </c>
      <c r="AL11" s="9">
        <v>78</v>
      </c>
      <c r="AM11" s="11" t="str">
        <f t="shared" ref="AM11:AM18" si="17">IF(AL11="-", "Absent", IF(AL11&gt;=85, "A+", IF(AL11&gt;=80, "A", IF(AL11&gt;=75, "A-", IF(AL11&gt;=70, "B+",IF(AL11&gt;=65, "B", IF(AL11&gt;=60, "B-", IF(AL11&gt;=55, "C+", IF(AL11&gt;=50, "C", IF(AL11&gt;=45, "C-", IF(AL11&gt;=39, "D+", IF(AL11&gt;=35, "D", IF(AL11&gt;=0, "F" )))))))))))))</f>
        <v>A-</v>
      </c>
      <c r="AN11" s="9">
        <v>75</v>
      </c>
      <c r="AO11" s="11" t="str">
        <f t="shared" ref="AO11:AO18" si="18">IF(AN11="-", "Absent", IF(AN11&gt;=85, "A+", IF(AN11&gt;=80, "A", IF(AN11&gt;=75, "A-", IF(AN11&gt;=70, "B+",IF(AN11&gt;=65, "B", IF(AN11&gt;=60, "B-", IF(AN11&gt;=55, "C+", IF(AN11&gt;=50, "C", IF(AN11&gt;=45, "C-", IF(AN11&gt;=39, "D+", IF(AN11&gt;=35, "D", IF(AN11&gt;=0, "F" )))))))))))))</f>
        <v>A-</v>
      </c>
      <c r="AP11" s="9">
        <v>56</v>
      </c>
      <c r="AQ11" s="14" t="str">
        <f t="shared" ref="AQ11:AQ18" si="19">IF(AP11="-", "Absent", IF(AP11&gt;=85, "A+", IF(AP11&gt;=80, "A", IF(AP11&gt;=75, "A-", IF(AP11&gt;=70, "B+",IF(AP11&gt;=65, "B", IF(AP11&gt;=60, "B-", IF(AP11&gt;=55, "C+", IF(AP11&gt;=50, "C", IF(AP11&gt;=45, "C-", IF(AP11&gt;=39, "D+", IF(AP11&gt;=35, "D", IF(AP11&gt;=0, "F" )))))))))))))</f>
        <v>C+</v>
      </c>
      <c r="AR11" s="9">
        <v>55</v>
      </c>
      <c r="AS11" s="11" t="str">
        <f t="shared" ref="AS11:AS18" si="20">IF(AR11="-", "Absent", IF(AR11&gt;=85, "A+", IF(AR11&gt;=80, "A", IF(AR11&gt;=75, "A-", IF(AR11&gt;=70, "B+",IF(AR11&gt;=65, "B", IF(AR11&gt;=60, "B-", IF(AR11&gt;=55, "C+", IF(AR11&gt;=50, "C", IF(AR11&gt;=45, "C-", IF(AR11&gt;=39, "D+", IF(AR11&gt;=35, "D", IF(AR11&gt;=0, "F" )))))))))))))</f>
        <v>C+</v>
      </c>
      <c r="AT11" s="9">
        <v>53</v>
      </c>
      <c r="AU11" s="11" t="str">
        <f t="shared" ref="AU11:AU18" si="21">IF(AT11="-", "Absent", IF(AT11&gt;=85, "A+", IF(AT11&gt;=80, "A", IF(AT11&gt;=75, "A-", IF(AT11&gt;=70, "B+",IF(AT11&gt;=65, "B", IF(AT11&gt;=60, "B-", IF(AT11&gt;=55, "C+", IF(AT11&gt;=50, "C", IF(AT11&gt;=45, "C-", IF(AT11&gt;=39, "D+", IF(AT11&gt;=35, "D", IF(AT11&gt;=0, "F" )))))))))))))</f>
        <v>C</v>
      </c>
      <c r="AV11" s="9">
        <v>54</v>
      </c>
      <c r="AW11" s="11" t="str">
        <f t="shared" ref="AW11:AW18" si="22">IF(AV11="-", "Absent", IF(AV11&gt;=85, "A+", IF(AV11&gt;=80, "A", IF(AV11&gt;=75, "A-", IF(AV11&gt;=70, "B+",IF(AV11&gt;=65, "B", IF(AV11&gt;=60, "B-", IF(AV11&gt;=55, "C+", IF(AV11&gt;=50, "C", IF(AV11&gt;=45, "C-", IF(AV11&gt;=39, "D+", IF(AV11&gt;=35, "D", IF(AV11&gt;=0, "F" )))))))))))))</f>
        <v>C</v>
      </c>
      <c r="AX11" s="9">
        <f t="shared" si="0"/>
        <v>1411</v>
      </c>
      <c r="AY11" s="7">
        <f t="shared" ref="AY11:AY18" si="23">AX11/22</f>
        <v>64.13636363636364</v>
      </c>
      <c r="AZ11" s="5" t="s">
        <v>47</v>
      </c>
      <c r="BA11" s="29"/>
    </row>
    <row r="12" spans="2:53" ht="44.25" customHeight="1" x14ac:dyDescent="0.3">
      <c r="B12" s="10" t="s">
        <v>38</v>
      </c>
      <c r="C12" s="1" t="s">
        <v>69</v>
      </c>
      <c r="D12" s="2" t="s">
        <v>70</v>
      </c>
      <c r="E12" s="4" t="s">
        <v>56</v>
      </c>
      <c r="F12" s="23" t="s">
        <v>45</v>
      </c>
      <c r="G12" s="25" t="s">
        <v>45</v>
      </c>
      <c r="H12" s="23" t="s">
        <v>45</v>
      </c>
      <c r="I12" s="25" t="s">
        <v>45</v>
      </c>
      <c r="J12" s="23" t="s">
        <v>45</v>
      </c>
      <c r="K12" s="25" t="s">
        <v>45</v>
      </c>
      <c r="L12" s="23" t="s">
        <v>45</v>
      </c>
      <c r="M12" s="25" t="s">
        <v>45</v>
      </c>
      <c r="N12" s="23" t="s">
        <v>45</v>
      </c>
      <c r="O12" s="25" t="s">
        <v>45</v>
      </c>
      <c r="P12" s="23" t="s">
        <v>45</v>
      </c>
      <c r="Q12" s="25" t="s">
        <v>45</v>
      </c>
      <c r="R12" s="23" t="s">
        <v>45</v>
      </c>
      <c r="S12" s="25" t="s">
        <v>45</v>
      </c>
      <c r="T12" s="23" t="s">
        <v>45</v>
      </c>
      <c r="U12" s="25" t="s">
        <v>45</v>
      </c>
      <c r="V12" s="23" t="s">
        <v>45</v>
      </c>
      <c r="W12" s="25" t="s">
        <v>45</v>
      </c>
      <c r="X12" s="23" t="s">
        <v>45</v>
      </c>
      <c r="Y12" s="25" t="s">
        <v>45</v>
      </c>
      <c r="Z12" s="23" t="s">
        <v>45</v>
      </c>
      <c r="AA12" s="25" t="s">
        <v>45</v>
      </c>
      <c r="AB12" s="23" t="s">
        <v>45</v>
      </c>
      <c r="AC12" s="25" t="s">
        <v>45</v>
      </c>
      <c r="AD12" s="23" t="s">
        <v>45</v>
      </c>
      <c r="AE12" s="25" t="s">
        <v>45</v>
      </c>
      <c r="AF12" s="23" t="s">
        <v>45</v>
      </c>
      <c r="AG12" s="25" t="s">
        <v>45</v>
      </c>
      <c r="AH12" s="23" t="s">
        <v>45</v>
      </c>
      <c r="AI12" s="25" t="s">
        <v>45</v>
      </c>
      <c r="AJ12" s="23" t="s">
        <v>45</v>
      </c>
      <c r="AK12" s="25" t="s">
        <v>45</v>
      </c>
      <c r="AL12" s="23" t="s">
        <v>45</v>
      </c>
      <c r="AM12" s="25" t="s">
        <v>45</v>
      </c>
      <c r="AN12" s="23" t="s">
        <v>45</v>
      </c>
      <c r="AO12" s="25" t="s">
        <v>45</v>
      </c>
      <c r="AP12" s="23" t="s">
        <v>45</v>
      </c>
      <c r="AQ12" s="25" t="s">
        <v>45</v>
      </c>
      <c r="AR12" s="23" t="s">
        <v>45</v>
      </c>
      <c r="AS12" s="25" t="s">
        <v>45</v>
      </c>
      <c r="AT12" s="23" t="s">
        <v>45</v>
      </c>
      <c r="AU12" s="25" t="s">
        <v>45</v>
      </c>
      <c r="AV12" s="23" t="s">
        <v>45</v>
      </c>
      <c r="AW12" s="25" t="s">
        <v>45</v>
      </c>
      <c r="AX12" s="9"/>
      <c r="AY12" s="7"/>
      <c r="AZ12" s="5" t="s">
        <v>46</v>
      </c>
      <c r="BA12" s="29"/>
    </row>
    <row r="13" spans="2:53" ht="54.75" customHeight="1" x14ac:dyDescent="0.3">
      <c r="B13" s="10" t="s">
        <v>39</v>
      </c>
      <c r="C13" s="1" t="s">
        <v>71</v>
      </c>
      <c r="D13" s="3" t="s">
        <v>72</v>
      </c>
      <c r="E13" s="4" t="s">
        <v>57</v>
      </c>
      <c r="F13" s="9">
        <v>72</v>
      </c>
      <c r="G13" s="11" t="str">
        <f t="shared" si="1"/>
        <v>B+</v>
      </c>
      <c r="H13" s="6">
        <v>40</v>
      </c>
      <c r="I13" s="11" t="str">
        <f t="shared" si="2"/>
        <v>D+</v>
      </c>
      <c r="J13" s="6">
        <v>42</v>
      </c>
      <c r="K13" s="11" t="str">
        <f t="shared" si="10"/>
        <v>D+</v>
      </c>
      <c r="L13" s="6">
        <v>80</v>
      </c>
      <c r="M13" s="11" t="str">
        <f t="shared" si="3"/>
        <v>A</v>
      </c>
      <c r="N13" s="9">
        <v>52</v>
      </c>
      <c r="O13" s="11" t="str">
        <f t="shared" si="4"/>
        <v>C</v>
      </c>
      <c r="P13" s="9">
        <v>53</v>
      </c>
      <c r="Q13" s="11" t="str">
        <f t="shared" si="5"/>
        <v>C</v>
      </c>
      <c r="R13" s="6">
        <v>56</v>
      </c>
      <c r="S13" s="11" t="str">
        <f t="shared" si="11"/>
        <v>C+</v>
      </c>
      <c r="T13" s="6">
        <v>78</v>
      </c>
      <c r="U13" s="11" t="str">
        <f t="shared" si="6"/>
        <v>A-</v>
      </c>
      <c r="V13" s="6">
        <v>54</v>
      </c>
      <c r="W13" s="11" t="str">
        <f t="shared" si="7"/>
        <v>C</v>
      </c>
      <c r="X13" s="6">
        <v>56</v>
      </c>
      <c r="Y13" s="11" t="str">
        <f t="shared" si="8"/>
        <v>C+</v>
      </c>
      <c r="Z13" s="6">
        <v>60</v>
      </c>
      <c r="AA13" s="11" t="str">
        <f t="shared" si="9"/>
        <v>B-</v>
      </c>
      <c r="AB13" s="6">
        <v>58</v>
      </c>
      <c r="AC13" s="11" t="str">
        <f t="shared" si="12"/>
        <v>C+</v>
      </c>
      <c r="AD13" s="6">
        <v>63</v>
      </c>
      <c r="AE13" s="11" t="str">
        <f t="shared" si="13"/>
        <v>B-</v>
      </c>
      <c r="AF13" s="6">
        <v>50</v>
      </c>
      <c r="AG13" s="11" t="str">
        <f t="shared" si="14"/>
        <v>C</v>
      </c>
      <c r="AH13" s="6">
        <v>54</v>
      </c>
      <c r="AI13" s="11" t="str">
        <f t="shared" si="15"/>
        <v>C</v>
      </c>
      <c r="AJ13" s="6">
        <v>46</v>
      </c>
      <c r="AK13" s="11" t="str">
        <f t="shared" si="16"/>
        <v>C-</v>
      </c>
      <c r="AL13" s="6">
        <v>50</v>
      </c>
      <c r="AM13" s="11" t="str">
        <f t="shared" si="17"/>
        <v>C</v>
      </c>
      <c r="AN13" s="6">
        <v>46</v>
      </c>
      <c r="AO13" s="11" t="str">
        <f t="shared" si="18"/>
        <v>C-</v>
      </c>
      <c r="AP13" s="6">
        <v>42</v>
      </c>
      <c r="AQ13" s="11" t="str">
        <f t="shared" si="19"/>
        <v>D+</v>
      </c>
      <c r="AR13" s="6">
        <v>49</v>
      </c>
      <c r="AS13" s="11" t="str">
        <f t="shared" si="20"/>
        <v>C-</v>
      </c>
      <c r="AT13" s="6">
        <v>59</v>
      </c>
      <c r="AU13" s="11" t="str">
        <f t="shared" si="21"/>
        <v>C+</v>
      </c>
      <c r="AV13" s="6">
        <v>41</v>
      </c>
      <c r="AW13" s="11" t="str">
        <f t="shared" si="22"/>
        <v>D+</v>
      </c>
      <c r="AX13" s="9">
        <f t="shared" si="0"/>
        <v>1201</v>
      </c>
      <c r="AY13" s="7">
        <f t="shared" si="23"/>
        <v>54.590909090909093</v>
      </c>
      <c r="AZ13" s="5" t="s">
        <v>44</v>
      </c>
      <c r="BA13" s="29"/>
    </row>
    <row r="14" spans="2:53" ht="57" customHeight="1" x14ac:dyDescent="0.3">
      <c r="B14" s="10" t="s">
        <v>40</v>
      </c>
      <c r="C14" s="1" t="s">
        <v>73</v>
      </c>
      <c r="D14" s="3" t="s">
        <v>74</v>
      </c>
      <c r="E14" s="4" t="s">
        <v>58</v>
      </c>
      <c r="F14" s="9">
        <v>55</v>
      </c>
      <c r="G14" s="11" t="str">
        <f t="shared" si="1"/>
        <v>C+</v>
      </c>
      <c r="H14" s="6">
        <v>48</v>
      </c>
      <c r="I14" s="11" t="str">
        <f t="shared" si="2"/>
        <v>C-</v>
      </c>
      <c r="J14" s="6">
        <v>50</v>
      </c>
      <c r="K14" s="11" t="str">
        <f t="shared" si="10"/>
        <v>C</v>
      </c>
      <c r="L14" s="6">
        <v>60</v>
      </c>
      <c r="M14" s="11" t="str">
        <f t="shared" si="3"/>
        <v>B-</v>
      </c>
      <c r="N14" s="6">
        <v>54</v>
      </c>
      <c r="O14" s="11" t="str">
        <f t="shared" si="4"/>
        <v>C</v>
      </c>
      <c r="P14" s="6">
        <v>45</v>
      </c>
      <c r="Q14" s="11" t="str">
        <f t="shared" si="5"/>
        <v>C-</v>
      </c>
      <c r="R14" s="6">
        <v>56</v>
      </c>
      <c r="S14" s="11" t="str">
        <f t="shared" si="11"/>
        <v>C+</v>
      </c>
      <c r="T14" s="6">
        <v>68</v>
      </c>
      <c r="U14" s="11" t="str">
        <f t="shared" si="6"/>
        <v>B</v>
      </c>
      <c r="V14" s="6">
        <v>38</v>
      </c>
      <c r="W14" s="14" t="str">
        <f t="shared" si="7"/>
        <v>D</v>
      </c>
      <c r="X14" s="9">
        <v>57</v>
      </c>
      <c r="Y14" s="11" t="str">
        <f t="shared" si="8"/>
        <v>C+</v>
      </c>
      <c r="Z14" s="6">
        <v>71</v>
      </c>
      <c r="AA14" s="11" t="str">
        <f t="shared" si="9"/>
        <v>B+</v>
      </c>
      <c r="AB14" s="6">
        <v>41</v>
      </c>
      <c r="AC14" s="11" t="str">
        <f t="shared" si="12"/>
        <v>D+</v>
      </c>
      <c r="AD14" s="6">
        <v>46</v>
      </c>
      <c r="AE14" s="11" t="str">
        <f t="shared" si="13"/>
        <v>C-</v>
      </c>
      <c r="AF14" s="6">
        <v>36</v>
      </c>
      <c r="AG14" s="14" t="str">
        <f t="shared" si="14"/>
        <v>D</v>
      </c>
      <c r="AH14" s="9">
        <v>45</v>
      </c>
      <c r="AI14" s="11" t="str">
        <f t="shared" si="15"/>
        <v>C-</v>
      </c>
      <c r="AJ14" s="6">
        <v>45</v>
      </c>
      <c r="AK14" s="11" t="str">
        <f t="shared" si="16"/>
        <v>C-</v>
      </c>
      <c r="AL14" s="6">
        <v>45</v>
      </c>
      <c r="AM14" s="14" t="str">
        <f t="shared" si="17"/>
        <v>C-</v>
      </c>
      <c r="AN14" s="9">
        <v>48</v>
      </c>
      <c r="AO14" s="11" t="str">
        <f t="shared" si="18"/>
        <v>C-</v>
      </c>
      <c r="AP14" s="12">
        <v>40</v>
      </c>
      <c r="AQ14" s="15" t="str">
        <f t="shared" si="19"/>
        <v>D+</v>
      </c>
      <c r="AR14" s="9">
        <v>39</v>
      </c>
      <c r="AS14" s="11" t="str">
        <f>IF(AR14="-", "Absent", IF(AR14&gt;=85, "A+", IF(AR14&gt;=80, "A", IF(AR14&gt;=75, "A-", IF(AR14&gt;=70, "B+",IF(AR14&gt;=65, "B", IF(AR14&gt;=60, "B-", IF(AR14&gt;=55, "C+", IF(AR14&gt;=50, "C", IF(AR14&gt;=45, "C-", IF(AR14&gt;=40, "D+", IF(AR14&gt;=35, "D", IF(AR14&gt;=0, "F" )))))))))))))</f>
        <v>D</v>
      </c>
      <c r="AT14" s="6">
        <v>70</v>
      </c>
      <c r="AU14" s="11" t="str">
        <f t="shared" si="21"/>
        <v>B+</v>
      </c>
      <c r="AV14" s="6">
        <v>43</v>
      </c>
      <c r="AW14" s="11" t="str">
        <f t="shared" si="22"/>
        <v>D+</v>
      </c>
      <c r="AX14" s="9">
        <f t="shared" si="0"/>
        <v>1100</v>
      </c>
      <c r="AY14" s="7">
        <f t="shared" si="23"/>
        <v>50</v>
      </c>
      <c r="AZ14" s="5" t="s">
        <v>44</v>
      </c>
      <c r="BA14" s="29"/>
    </row>
    <row r="15" spans="2:53" ht="55.5" customHeight="1" x14ac:dyDescent="0.3">
      <c r="B15" s="10" t="s">
        <v>41</v>
      </c>
      <c r="C15" s="1" t="s">
        <v>75</v>
      </c>
      <c r="D15" s="3">
        <v>197382300051</v>
      </c>
      <c r="E15" s="4" t="s">
        <v>59</v>
      </c>
      <c r="F15" s="23" t="s">
        <v>43</v>
      </c>
      <c r="G15" s="23" t="s">
        <v>43</v>
      </c>
      <c r="H15" s="23" t="s">
        <v>43</v>
      </c>
      <c r="I15" s="23" t="s">
        <v>43</v>
      </c>
      <c r="J15" s="23" t="s">
        <v>43</v>
      </c>
      <c r="K15" s="23" t="s">
        <v>43</v>
      </c>
      <c r="L15" s="23" t="s">
        <v>43</v>
      </c>
      <c r="M15" s="23" t="s">
        <v>43</v>
      </c>
      <c r="N15" s="23" t="s">
        <v>43</v>
      </c>
      <c r="O15" s="23" t="s">
        <v>43</v>
      </c>
      <c r="P15" s="23" t="s">
        <v>43</v>
      </c>
      <c r="Q15" s="23" t="s">
        <v>43</v>
      </c>
      <c r="R15" s="23" t="s">
        <v>43</v>
      </c>
      <c r="S15" s="23" t="s">
        <v>43</v>
      </c>
      <c r="T15" s="23" t="s">
        <v>43</v>
      </c>
      <c r="U15" s="23" t="s">
        <v>43</v>
      </c>
      <c r="V15" s="23" t="s">
        <v>43</v>
      </c>
      <c r="W15" s="23" t="s">
        <v>43</v>
      </c>
      <c r="X15" s="23" t="s">
        <v>43</v>
      </c>
      <c r="Y15" s="23" t="s">
        <v>43</v>
      </c>
      <c r="Z15" s="23" t="s">
        <v>43</v>
      </c>
      <c r="AA15" s="23" t="s">
        <v>43</v>
      </c>
      <c r="AB15" s="23" t="s">
        <v>45</v>
      </c>
      <c r="AC15" s="25" t="s">
        <v>45</v>
      </c>
      <c r="AD15" s="23" t="s">
        <v>45</v>
      </c>
      <c r="AE15" s="25" t="s">
        <v>45</v>
      </c>
      <c r="AF15" s="23" t="s">
        <v>45</v>
      </c>
      <c r="AG15" s="25" t="s">
        <v>45</v>
      </c>
      <c r="AH15" s="23" t="s">
        <v>45</v>
      </c>
      <c r="AI15" s="25" t="s">
        <v>45</v>
      </c>
      <c r="AJ15" s="9">
        <v>40</v>
      </c>
      <c r="AK15" s="11" t="str">
        <f t="shared" si="16"/>
        <v>D+</v>
      </c>
      <c r="AL15" s="6" t="s">
        <v>45</v>
      </c>
      <c r="AM15" s="14" t="s">
        <v>45</v>
      </c>
      <c r="AN15" s="9">
        <v>51</v>
      </c>
      <c r="AO15" s="11" t="str">
        <f t="shared" si="18"/>
        <v>C</v>
      </c>
      <c r="AP15" s="6" t="s">
        <v>45</v>
      </c>
      <c r="AQ15" s="14" t="s">
        <v>45</v>
      </c>
      <c r="AR15" s="9">
        <v>32</v>
      </c>
      <c r="AS15" s="11" t="str">
        <f t="shared" si="20"/>
        <v>F</v>
      </c>
      <c r="AT15" s="6" t="s">
        <v>45</v>
      </c>
      <c r="AU15" s="14" t="s">
        <v>45</v>
      </c>
      <c r="AV15" s="9" t="s">
        <v>45</v>
      </c>
      <c r="AW15" s="14" t="s">
        <v>45</v>
      </c>
      <c r="AX15" s="9"/>
      <c r="AY15" s="7"/>
      <c r="AZ15" s="5" t="s">
        <v>46</v>
      </c>
      <c r="BA15" s="29"/>
    </row>
    <row r="16" spans="2:53" ht="55.5" customHeight="1" x14ac:dyDescent="0.3">
      <c r="B16" s="10" t="s">
        <v>42</v>
      </c>
      <c r="C16" s="1" t="s">
        <v>7</v>
      </c>
      <c r="D16" s="3" t="s">
        <v>8</v>
      </c>
      <c r="E16" s="4" t="s">
        <v>60</v>
      </c>
      <c r="F16" s="24">
        <v>52</v>
      </c>
      <c r="G16" s="18" t="str">
        <f t="shared" si="1"/>
        <v>C</v>
      </c>
      <c r="H16" s="17">
        <v>74</v>
      </c>
      <c r="I16" s="18" t="str">
        <f t="shared" si="2"/>
        <v>B+</v>
      </c>
      <c r="J16" s="24">
        <v>36</v>
      </c>
      <c r="K16" s="18" t="str">
        <f t="shared" si="10"/>
        <v>D</v>
      </c>
      <c r="L16" s="24">
        <v>43</v>
      </c>
      <c r="M16" s="18" t="str">
        <f t="shared" si="3"/>
        <v>D+</v>
      </c>
      <c r="N16" s="24">
        <v>62</v>
      </c>
      <c r="O16" s="18" t="str">
        <f t="shared" si="4"/>
        <v>B-</v>
      </c>
      <c r="P16" s="24">
        <v>40</v>
      </c>
      <c r="Q16" s="21" t="str">
        <f t="shared" si="5"/>
        <v>D+</v>
      </c>
      <c r="R16" s="24">
        <v>68</v>
      </c>
      <c r="S16" s="18" t="str">
        <f t="shared" si="11"/>
        <v>B</v>
      </c>
      <c r="T16" s="24">
        <v>70</v>
      </c>
      <c r="U16" s="18" t="str">
        <f t="shared" si="6"/>
        <v>B+</v>
      </c>
      <c r="V16" s="24">
        <v>52</v>
      </c>
      <c r="W16" s="18" t="str">
        <f t="shared" si="7"/>
        <v>C</v>
      </c>
      <c r="X16" s="24">
        <v>54</v>
      </c>
      <c r="Y16" s="18" t="str">
        <f t="shared" si="8"/>
        <v>C</v>
      </c>
      <c r="Z16" s="24">
        <v>76</v>
      </c>
      <c r="AA16" s="18" t="str">
        <f t="shared" si="9"/>
        <v>A-</v>
      </c>
      <c r="AB16" s="24">
        <v>66</v>
      </c>
      <c r="AC16" s="18" t="str">
        <f t="shared" si="12"/>
        <v>B</v>
      </c>
      <c r="AD16" s="24">
        <v>70</v>
      </c>
      <c r="AE16" s="18" t="str">
        <f t="shared" si="13"/>
        <v>B+</v>
      </c>
      <c r="AF16" s="24">
        <v>58</v>
      </c>
      <c r="AG16" s="18" t="str">
        <f t="shared" si="14"/>
        <v>C+</v>
      </c>
      <c r="AH16" s="24">
        <v>55</v>
      </c>
      <c r="AI16" s="18" t="str">
        <f t="shared" si="15"/>
        <v>C+</v>
      </c>
      <c r="AJ16" s="24">
        <v>62</v>
      </c>
      <c r="AK16" s="18" t="str">
        <f t="shared" si="16"/>
        <v>B-</v>
      </c>
      <c r="AL16" s="17">
        <v>80</v>
      </c>
      <c r="AM16" s="18" t="str">
        <f t="shared" si="17"/>
        <v>A</v>
      </c>
      <c r="AN16" s="24">
        <v>70</v>
      </c>
      <c r="AO16" s="18" t="str">
        <f t="shared" si="18"/>
        <v>B+</v>
      </c>
      <c r="AP16" s="22">
        <v>47</v>
      </c>
      <c r="AQ16" s="21" t="str">
        <f t="shared" si="19"/>
        <v>C-</v>
      </c>
      <c r="AR16" s="24">
        <v>52</v>
      </c>
      <c r="AS16" s="18" t="str">
        <f t="shared" si="20"/>
        <v>C</v>
      </c>
      <c r="AT16" s="17">
        <v>58</v>
      </c>
      <c r="AU16" s="18" t="str">
        <f t="shared" si="21"/>
        <v>C+</v>
      </c>
      <c r="AV16" s="24">
        <v>48</v>
      </c>
      <c r="AW16" s="18" t="str">
        <f t="shared" si="22"/>
        <v>C-</v>
      </c>
      <c r="AX16" s="17">
        <f t="shared" si="0"/>
        <v>1293</v>
      </c>
      <c r="AY16" s="19">
        <f t="shared" si="23"/>
        <v>58.772727272727273</v>
      </c>
      <c r="AZ16" s="20" t="s">
        <v>44</v>
      </c>
      <c r="BA16" s="29"/>
    </row>
    <row r="17" spans="2:53" ht="69" customHeight="1" x14ac:dyDescent="0.3">
      <c r="B17" s="10" t="s">
        <v>5</v>
      </c>
      <c r="C17" s="1" t="s">
        <v>76</v>
      </c>
      <c r="D17" s="3" t="s">
        <v>77</v>
      </c>
      <c r="E17" s="4" t="s">
        <v>61</v>
      </c>
      <c r="F17" s="24"/>
      <c r="G17" s="18"/>
      <c r="H17" s="24"/>
      <c r="I17" s="18"/>
      <c r="J17" s="24"/>
      <c r="K17" s="18"/>
      <c r="L17" s="24"/>
      <c r="M17" s="18"/>
      <c r="N17" s="24"/>
      <c r="O17" s="18"/>
      <c r="P17" s="24"/>
      <c r="Q17" s="21"/>
      <c r="R17" s="24"/>
      <c r="S17" s="18"/>
      <c r="T17" s="24"/>
      <c r="U17" s="18"/>
      <c r="V17" s="24"/>
      <c r="W17" s="18"/>
      <c r="X17" s="24"/>
      <c r="Y17" s="18"/>
      <c r="Z17" s="24"/>
      <c r="AA17" s="18"/>
      <c r="AB17" s="24"/>
      <c r="AC17" s="18"/>
      <c r="AD17" s="24"/>
      <c r="AE17" s="18"/>
      <c r="AF17" s="24"/>
      <c r="AG17" s="18"/>
      <c r="AH17" s="24"/>
      <c r="AI17" s="18"/>
      <c r="AJ17" s="24"/>
      <c r="AK17" s="18"/>
      <c r="AL17" s="24"/>
      <c r="AM17" s="18"/>
      <c r="AN17" s="24"/>
      <c r="AO17" s="18"/>
      <c r="AP17" s="28"/>
      <c r="AQ17" s="21"/>
      <c r="AR17" s="24"/>
      <c r="AS17" s="18"/>
      <c r="AT17" s="24"/>
      <c r="AU17" s="18"/>
      <c r="AV17" s="24"/>
      <c r="AW17" s="18"/>
      <c r="AX17" s="24"/>
      <c r="AY17" s="19"/>
      <c r="AZ17" s="20"/>
      <c r="BA17" s="29"/>
    </row>
    <row r="18" spans="2:53" ht="27.6" x14ac:dyDescent="0.3">
      <c r="B18" s="10" t="s">
        <v>6</v>
      </c>
      <c r="C18" s="1" t="s">
        <v>78</v>
      </c>
      <c r="D18" s="3" t="s">
        <v>79</v>
      </c>
      <c r="E18" s="4" t="s">
        <v>62</v>
      </c>
      <c r="F18" s="9">
        <v>75</v>
      </c>
      <c r="G18" s="14" t="str">
        <f t="shared" si="1"/>
        <v>A-</v>
      </c>
      <c r="H18" s="9">
        <v>63</v>
      </c>
      <c r="I18" s="14" t="str">
        <f t="shared" si="2"/>
        <v>B-</v>
      </c>
      <c r="J18" s="9">
        <v>54</v>
      </c>
      <c r="K18" s="14" t="str">
        <f t="shared" si="10"/>
        <v>C</v>
      </c>
      <c r="L18" s="9">
        <v>85</v>
      </c>
      <c r="M18" s="14" t="str">
        <f t="shared" si="3"/>
        <v>A+</v>
      </c>
      <c r="N18" s="9">
        <v>65</v>
      </c>
      <c r="O18" s="14" t="str">
        <f t="shared" si="4"/>
        <v>B</v>
      </c>
      <c r="P18" s="9">
        <v>51</v>
      </c>
      <c r="Q18" s="14" t="str">
        <f t="shared" si="5"/>
        <v>C</v>
      </c>
      <c r="R18" s="9">
        <v>72</v>
      </c>
      <c r="S18" s="14" t="str">
        <f t="shared" si="11"/>
        <v>B+</v>
      </c>
      <c r="T18" s="9">
        <v>85</v>
      </c>
      <c r="U18" s="14" t="str">
        <f t="shared" si="6"/>
        <v>A+</v>
      </c>
      <c r="V18" s="9">
        <v>65</v>
      </c>
      <c r="W18" s="14" t="str">
        <f t="shared" si="7"/>
        <v>B</v>
      </c>
      <c r="X18" s="9">
        <v>63</v>
      </c>
      <c r="Y18" s="14" t="str">
        <f t="shared" si="8"/>
        <v>B-</v>
      </c>
      <c r="Z18" s="9">
        <v>76</v>
      </c>
      <c r="AA18" s="14" t="str">
        <f t="shared" si="9"/>
        <v>A-</v>
      </c>
      <c r="AB18" s="9">
        <v>63</v>
      </c>
      <c r="AC18" s="14" t="str">
        <f t="shared" si="12"/>
        <v>B-</v>
      </c>
      <c r="AD18" s="9">
        <v>80</v>
      </c>
      <c r="AE18" s="14" t="str">
        <f t="shared" si="13"/>
        <v>A</v>
      </c>
      <c r="AF18" s="9">
        <v>68</v>
      </c>
      <c r="AG18" s="14" t="str">
        <f t="shared" si="14"/>
        <v>B</v>
      </c>
      <c r="AH18" s="9">
        <v>65</v>
      </c>
      <c r="AI18" s="14" t="str">
        <f t="shared" si="15"/>
        <v>B</v>
      </c>
      <c r="AJ18" s="9">
        <v>70</v>
      </c>
      <c r="AK18" s="14" t="str">
        <f t="shared" si="16"/>
        <v>B+</v>
      </c>
      <c r="AL18" s="9">
        <v>50</v>
      </c>
      <c r="AM18" s="14" t="str">
        <f t="shared" si="17"/>
        <v>C</v>
      </c>
      <c r="AN18" s="9">
        <v>61</v>
      </c>
      <c r="AO18" s="14" t="str">
        <f t="shared" si="18"/>
        <v>B-</v>
      </c>
      <c r="AP18" s="9">
        <v>58</v>
      </c>
      <c r="AQ18" s="14" t="str">
        <f t="shared" si="19"/>
        <v>C+</v>
      </c>
      <c r="AR18" s="9">
        <v>52</v>
      </c>
      <c r="AS18" s="14" t="str">
        <f t="shared" si="20"/>
        <v>C</v>
      </c>
      <c r="AT18" s="9">
        <v>58</v>
      </c>
      <c r="AU18" s="14" t="str">
        <f t="shared" si="21"/>
        <v>C+</v>
      </c>
      <c r="AV18" s="9">
        <v>54</v>
      </c>
      <c r="AW18" s="14" t="str">
        <f t="shared" si="22"/>
        <v>C</v>
      </c>
      <c r="AX18" s="9">
        <f t="shared" si="0"/>
        <v>1433</v>
      </c>
      <c r="AY18" s="7">
        <f t="shared" si="23"/>
        <v>65.13636363636364</v>
      </c>
      <c r="AZ18" s="5" t="s">
        <v>47</v>
      </c>
      <c r="BA18" s="29"/>
    </row>
  </sheetData>
  <mergeCells count="35">
    <mergeCell ref="BA6:BA7"/>
    <mergeCell ref="AZ6:AZ7"/>
    <mergeCell ref="AY6:AY7"/>
    <mergeCell ref="AX6:AX7"/>
    <mergeCell ref="E6:E7"/>
    <mergeCell ref="B2:AZ2"/>
    <mergeCell ref="B4:AZ4"/>
    <mergeCell ref="AN6:AO6"/>
    <mergeCell ref="AP6:AQ6"/>
    <mergeCell ref="AR6:AS6"/>
    <mergeCell ref="AT6:AU6"/>
    <mergeCell ref="AV6:AW6"/>
    <mergeCell ref="AB6:AC6"/>
    <mergeCell ref="AD6:AE6"/>
    <mergeCell ref="AF6:AG6"/>
    <mergeCell ref="AH6:AI6"/>
    <mergeCell ref="D6:D7"/>
    <mergeCell ref="C6:C7"/>
    <mergeCell ref="B6:B7"/>
    <mergeCell ref="B1:AZ1"/>
    <mergeCell ref="B3:AZ3"/>
    <mergeCell ref="B5:AZ5"/>
    <mergeCell ref="F6:G6"/>
    <mergeCell ref="H6:I6"/>
    <mergeCell ref="J6:K6"/>
    <mergeCell ref="L6:M6"/>
    <mergeCell ref="N6:O6"/>
    <mergeCell ref="AJ6:AK6"/>
    <mergeCell ref="AL6:AM6"/>
    <mergeCell ref="P6:Q6"/>
    <mergeCell ref="R6:S6"/>
    <mergeCell ref="T6:U6"/>
    <mergeCell ref="V6:W6"/>
    <mergeCell ref="X6:Y6"/>
    <mergeCell ref="Z6:AA6"/>
  </mergeCells>
  <phoneticPr fontId="4" type="noConversion"/>
  <pageMargins left="0" right="0" top="0" bottom="0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Sheet3</vt:lpstr>
      <vt:lpstr>Sheet3!Print_Area</vt:lpstr>
      <vt:lpstr>Sheet3!Print_Titles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Yasiru Jayasinghe</cp:lastModifiedBy>
  <cp:lastPrinted>2026-01-22T01:50:41Z</cp:lastPrinted>
  <dcterms:created xsi:type="dcterms:W3CDTF">2026-01-09T10:03:19Z</dcterms:created>
  <dcterms:modified xsi:type="dcterms:W3CDTF">2026-08-11T19:29:23Z</dcterms:modified>
</cp:coreProperties>
</file>