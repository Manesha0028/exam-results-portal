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c-Link\Downloads\Results (2)\Results\"/>
    </mc:Choice>
  </mc:AlternateContent>
  <xr:revisionPtr revIDLastSave="0" documentId="13_ncr:1_{BF305330-885E-45A1-891D-FCBF5BEAF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4" r:id="rId2"/>
  </sheets>
  <definedNames>
    <definedName name="_xlnm.Print_Area" localSheetId="0">Sheet3!$A$1:$AH$55</definedName>
    <definedName name="_xlnm.Print_Titles" localSheetId="0">Sheet3!$1:$6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" i="3" l="1"/>
  <c r="AC50" i="3"/>
  <c r="AC51" i="3"/>
  <c r="AC52" i="3"/>
  <c r="AC53" i="3"/>
  <c r="AC54" i="3"/>
  <c r="AC55" i="3"/>
  <c r="AC56" i="3"/>
  <c r="AA49" i="3"/>
  <c r="AA50" i="3"/>
  <c r="AA51" i="3"/>
  <c r="AA52" i="3"/>
  <c r="AA53" i="3"/>
  <c r="AA54" i="3"/>
  <c r="AA55" i="3"/>
  <c r="AA56" i="3"/>
  <c r="Y49" i="3"/>
  <c r="Y50" i="3"/>
  <c r="Y51" i="3"/>
  <c r="Y52" i="3"/>
  <c r="Y53" i="3"/>
  <c r="Y54" i="3"/>
  <c r="Y55" i="3"/>
  <c r="Y56" i="3"/>
  <c r="W49" i="3"/>
  <c r="W50" i="3"/>
  <c r="W51" i="3"/>
  <c r="W52" i="3"/>
  <c r="W53" i="3"/>
  <c r="W54" i="3"/>
  <c r="W55" i="3"/>
  <c r="W56" i="3"/>
  <c r="AC47" i="3"/>
  <c r="AA47" i="3"/>
  <c r="Y47" i="3"/>
  <c r="W47" i="3"/>
  <c r="AD37" i="3"/>
  <c r="AE37" i="3" s="1"/>
  <c r="AE15" i="3"/>
  <c r="AC46" i="3"/>
  <c r="AA46" i="3"/>
  <c r="Y46" i="3"/>
  <c r="W46" i="3"/>
  <c r="U47" i="3"/>
  <c r="U49" i="3"/>
  <c r="U50" i="3"/>
  <c r="U51" i="3"/>
  <c r="U52" i="3"/>
  <c r="U53" i="3"/>
  <c r="U54" i="3"/>
  <c r="U55" i="3"/>
  <c r="S47" i="3"/>
  <c r="S49" i="3"/>
  <c r="S50" i="3"/>
  <c r="S51" i="3"/>
  <c r="S52" i="3"/>
  <c r="S53" i="3"/>
  <c r="S54" i="3"/>
  <c r="S55" i="3"/>
  <c r="S56" i="3"/>
  <c r="Q47" i="3"/>
  <c r="Q48" i="3"/>
  <c r="Q49" i="3"/>
  <c r="Q50" i="3"/>
  <c r="Q51" i="3"/>
  <c r="Q52" i="3"/>
  <c r="Q53" i="3"/>
  <c r="Q54" i="3"/>
  <c r="Q55" i="3"/>
  <c r="Q56" i="3"/>
  <c r="O47" i="3"/>
  <c r="O48" i="3"/>
  <c r="O49" i="3"/>
  <c r="O50" i="3"/>
  <c r="O51" i="3"/>
  <c r="O52" i="3"/>
  <c r="O53" i="3"/>
  <c r="O54" i="3"/>
  <c r="O55" i="3"/>
  <c r="O56" i="3"/>
  <c r="M47" i="3"/>
  <c r="M48" i="3"/>
  <c r="M49" i="3"/>
  <c r="M50" i="3"/>
  <c r="M51" i="3"/>
  <c r="M52" i="3"/>
  <c r="M53" i="3"/>
  <c r="M54" i="3"/>
  <c r="M55" i="3"/>
  <c r="M56" i="3"/>
  <c r="K47" i="3"/>
  <c r="K48" i="3"/>
  <c r="K49" i="3"/>
  <c r="K50" i="3"/>
  <c r="K51" i="3"/>
  <c r="K52" i="3"/>
  <c r="K53" i="3"/>
  <c r="K54" i="3"/>
  <c r="K55" i="3"/>
  <c r="K56" i="3"/>
  <c r="U46" i="3"/>
  <c r="S46" i="3"/>
  <c r="Q46" i="3"/>
  <c r="O46" i="3"/>
  <c r="M46" i="3"/>
  <c r="K46" i="3"/>
  <c r="I46" i="3"/>
  <c r="AC32" i="3"/>
  <c r="AC34" i="3"/>
  <c r="AC38" i="3"/>
  <c r="AC39" i="3"/>
  <c r="AC40" i="3"/>
  <c r="AC41" i="3"/>
  <c r="AC42" i="3"/>
  <c r="AC44" i="3"/>
  <c r="AC45" i="3"/>
  <c r="AA32" i="3"/>
  <c r="AA34" i="3"/>
  <c r="AA38" i="3"/>
  <c r="AA39" i="3"/>
  <c r="AA40" i="3"/>
  <c r="AA41" i="3"/>
  <c r="AA42" i="3"/>
  <c r="AA44" i="3"/>
  <c r="AA45" i="3"/>
  <c r="Y32" i="3"/>
  <c r="Y34" i="3"/>
  <c r="Y38" i="3"/>
  <c r="Y39" i="3"/>
  <c r="Y40" i="3"/>
  <c r="Y41" i="3"/>
  <c r="Y42" i="3"/>
  <c r="Y44" i="3"/>
  <c r="Y45" i="3"/>
  <c r="W32" i="3"/>
  <c r="W34" i="3"/>
  <c r="W38" i="3"/>
  <c r="W39" i="3"/>
  <c r="W40" i="3"/>
  <c r="W41" i="3"/>
  <c r="W42" i="3"/>
  <c r="W44" i="3"/>
  <c r="W45" i="3"/>
  <c r="U32" i="3"/>
  <c r="U34" i="3"/>
  <c r="U38" i="3"/>
  <c r="U39" i="3"/>
  <c r="U40" i="3"/>
  <c r="U41" i="3"/>
  <c r="U42" i="3"/>
  <c r="U44" i="3"/>
  <c r="U45" i="3"/>
  <c r="S32" i="3"/>
  <c r="S34" i="3"/>
  <c r="S38" i="3"/>
  <c r="S39" i="3"/>
  <c r="S40" i="3"/>
  <c r="S41" i="3"/>
  <c r="S42" i="3"/>
  <c r="S44" i="3"/>
  <c r="S45" i="3"/>
  <c r="Q32" i="3"/>
  <c r="Q33" i="3"/>
  <c r="Q34" i="3"/>
  <c r="Q35" i="3"/>
  <c r="Q36" i="3"/>
  <c r="Q38" i="3"/>
  <c r="Q39" i="3"/>
  <c r="Q40" i="3"/>
  <c r="Q41" i="3"/>
  <c r="Q42" i="3"/>
  <c r="Q44" i="3"/>
  <c r="Q45" i="3"/>
  <c r="O32" i="3"/>
  <c r="O33" i="3"/>
  <c r="O34" i="3"/>
  <c r="O35" i="3"/>
  <c r="O36" i="3"/>
  <c r="O38" i="3"/>
  <c r="O39" i="3"/>
  <c r="O40" i="3"/>
  <c r="O41" i="3"/>
  <c r="O42" i="3"/>
  <c r="O44" i="3"/>
  <c r="O45" i="3"/>
  <c r="M32" i="3"/>
  <c r="M33" i="3"/>
  <c r="M34" i="3"/>
  <c r="M35" i="3"/>
  <c r="M36" i="3"/>
  <c r="M38" i="3"/>
  <c r="M39" i="3"/>
  <c r="M40" i="3"/>
  <c r="M41" i="3"/>
  <c r="M42" i="3"/>
  <c r="M44" i="3"/>
  <c r="M45" i="3"/>
  <c r="K32" i="3"/>
  <c r="K33" i="3"/>
  <c r="K34" i="3"/>
  <c r="K35" i="3"/>
  <c r="K36" i="3"/>
  <c r="K38" i="3"/>
  <c r="K39" i="3"/>
  <c r="K40" i="3"/>
  <c r="K41" i="3"/>
  <c r="K42" i="3"/>
  <c r="K44" i="3"/>
  <c r="K45" i="3"/>
  <c r="AC31" i="3"/>
  <c r="AA31" i="3"/>
  <c r="Y31" i="3"/>
  <c r="W31" i="3"/>
  <c r="U31" i="3"/>
  <c r="S31" i="3"/>
  <c r="Q31" i="3"/>
  <c r="O31" i="3"/>
  <c r="M31" i="3"/>
  <c r="K31" i="3"/>
  <c r="I31" i="3"/>
  <c r="AC20" i="3"/>
  <c r="AC21" i="3"/>
  <c r="AC24" i="3"/>
  <c r="AC25" i="3"/>
  <c r="AC26" i="3"/>
  <c r="AC27" i="3"/>
  <c r="AC28" i="3"/>
  <c r="AC29" i="3"/>
  <c r="AC30" i="3"/>
  <c r="AA20" i="3"/>
  <c r="AA21" i="3"/>
  <c r="AA24" i="3"/>
  <c r="AA25" i="3"/>
  <c r="AA26" i="3"/>
  <c r="AA27" i="3"/>
  <c r="AA28" i="3"/>
  <c r="AA29" i="3"/>
  <c r="AA30" i="3"/>
  <c r="Y20" i="3"/>
  <c r="Y21" i="3"/>
  <c r="Y24" i="3"/>
  <c r="Y25" i="3"/>
  <c r="Y26" i="3"/>
  <c r="Y27" i="3"/>
  <c r="Y28" i="3"/>
  <c r="Y29" i="3"/>
  <c r="Y30" i="3"/>
  <c r="W20" i="3"/>
  <c r="W21" i="3"/>
  <c r="W24" i="3"/>
  <c r="W25" i="3"/>
  <c r="W26" i="3"/>
  <c r="W27" i="3"/>
  <c r="W28" i="3"/>
  <c r="W29" i="3"/>
  <c r="W30" i="3"/>
  <c r="U20" i="3"/>
  <c r="U21" i="3"/>
  <c r="U24" i="3"/>
  <c r="U25" i="3"/>
  <c r="U26" i="3"/>
  <c r="U27" i="3"/>
  <c r="U28" i="3"/>
  <c r="U29" i="3"/>
  <c r="U30" i="3"/>
  <c r="S20" i="3"/>
  <c r="S21" i="3"/>
  <c r="S24" i="3"/>
  <c r="S25" i="3"/>
  <c r="S26" i="3"/>
  <c r="S27" i="3"/>
  <c r="S28" i="3"/>
  <c r="S29" i="3"/>
  <c r="S30" i="3"/>
  <c r="Q20" i="3"/>
  <c r="Q21" i="3"/>
  <c r="Q22" i="3"/>
  <c r="Q23" i="3"/>
  <c r="Q24" i="3"/>
  <c r="Q25" i="3"/>
  <c r="Q26" i="3"/>
  <c r="Q27" i="3"/>
  <c r="Q28" i="3"/>
  <c r="Q29" i="3"/>
  <c r="Q30" i="3"/>
  <c r="O20" i="3"/>
  <c r="O21" i="3"/>
  <c r="O22" i="3"/>
  <c r="O23" i="3"/>
  <c r="O24" i="3"/>
  <c r="O25" i="3"/>
  <c r="O26" i="3"/>
  <c r="O27" i="3"/>
  <c r="O28" i="3"/>
  <c r="O29" i="3"/>
  <c r="O30" i="3"/>
  <c r="M20" i="3"/>
  <c r="M21" i="3"/>
  <c r="M22" i="3"/>
  <c r="M23" i="3"/>
  <c r="M24" i="3"/>
  <c r="M25" i="3"/>
  <c r="M26" i="3"/>
  <c r="M27" i="3"/>
  <c r="M28" i="3"/>
  <c r="M29" i="3"/>
  <c r="M30" i="3"/>
  <c r="K20" i="3"/>
  <c r="K21" i="3"/>
  <c r="K22" i="3"/>
  <c r="K23" i="3"/>
  <c r="K24" i="3"/>
  <c r="K25" i="3"/>
  <c r="K26" i="3"/>
  <c r="K27" i="3"/>
  <c r="K28" i="3"/>
  <c r="K29" i="3"/>
  <c r="K30" i="3"/>
  <c r="AC19" i="3"/>
  <c r="AA19" i="3"/>
  <c r="Y19" i="3"/>
  <c r="W19" i="3"/>
  <c r="U19" i="3"/>
  <c r="S19" i="3"/>
  <c r="Q19" i="3"/>
  <c r="O19" i="3"/>
  <c r="M19" i="3"/>
  <c r="K19" i="3"/>
  <c r="I19" i="3"/>
  <c r="U9" i="3"/>
  <c r="U10" i="3"/>
  <c r="U11" i="3"/>
  <c r="U12" i="3"/>
  <c r="U13" i="3"/>
  <c r="U14" i="3"/>
  <c r="U16" i="3"/>
  <c r="U17" i="3"/>
  <c r="U18" i="3"/>
  <c r="S9" i="3"/>
  <c r="S10" i="3"/>
  <c r="S11" i="3"/>
  <c r="S12" i="3"/>
  <c r="S13" i="3"/>
  <c r="S14" i="3"/>
  <c r="S16" i="3"/>
  <c r="S17" i="3"/>
  <c r="S18" i="3"/>
  <c r="Q9" i="3"/>
  <c r="Q10" i="3"/>
  <c r="Q11" i="3"/>
  <c r="Q12" i="3"/>
  <c r="Q13" i="3"/>
  <c r="Q14" i="3"/>
  <c r="Q16" i="3"/>
  <c r="Q17" i="3"/>
  <c r="Q18" i="3"/>
  <c r="O9" i="3"/>
  <c r="O10" i="3"/>
  <c r="O11" i="3"/>
  <c r="O12" i="3"/>
  <c r="O13" i="3"/>
  <c r="O14" i="3"/>
  <c r="O16" i="3"/>
  <c r="O17" i="3"/>
  <c r="O18" i="3"/>
  <c r="M9" i="3"/>
  <c r="M10" i="3"/>
  <c r="M11" i="3"/>
  <c r="M12" i="3"/>
  <c r="M13" i="3"/>
  <c r="M14" i="3"/>
  <c r="M16" i="3"/>
  <c r="M17" i="3"/>
  <c r="M18" i="3"/>
  <c r="K9" i="3"/>
  <c r="K10" i="3"/>
  <c r="K11" i="3"/>
  <c r="K12" i="3"/>
  <c r="K13" i="3"/>
  <c r="K14" i="3"/>
  <c r="K16" i="3"/>
  <c r="K17" i="3"/>
  <c r="K18" i="3"/>
  <c r="AC9" i="3"/>
  <c r="AC10" i="3"/>
  <c r="AC11" i="3"/>
  <c r="AC12" i="3"/>
  <c r="AC13" i="3"/>
  <c r="AC14" i="3"/>
  <c r="AC16" i="3"/>
  <c r="AC17" i="3"/>
  <c r="AC18" i="3"/>
  <c r="AA9" i="3"/>
  <c r="AA10" i="3"/>
  <c r="AA11" i="3"/>
  <c r="AA12" i="3"/>
  <c r="AA13" i="3"/>
  <c r="AA14" i="3"/>
  <c r="AA16" i="3"/>
  <c r="AA17" i="3"/>
  <c r="AA18" i="3"/>
  <c r="Y9" i="3"/>
  <c r="Y10" i="3"/>
  <c r="Y11" i="3"/>
  <c r="Y12" i="3"/>
  <c r="Y13" i="3"/>
  <c r="Y14" i="3"/>
  <c r="Y16" i="3"/>
  <c r="Y17" i="3"/>
  <c r="Y18" i="3"/>
  <c r="W9" i="3"/>
  <c r="W10" i="3"/>
  <c r="W11" i="3"/>
  <c r="W12" i="3"/>
  <c r="W13" i="3"/>
  <c r="W14" i="3"/>
  <c r="W16" i="3"/>
  <c r="W17" i="3"/>
  <c r="W18" i="3"/>
  <c r="AC8" i="3"/>
  <c r="AA8" i="3"/>
  <c r="Y8" i="3"/>
  <c r="W8" i="3"/>
  <c r="U8" i="3"/>
  <c r="S8" i="3"/>
  <c r="Q8" i="3"/>
  <c r="O8" i="3"/>
  <c r="M8" i="3"/>
  <c r="K8" i="3"/>
  <c r="I47" i="3"/>
  <c r="I48" i="3"/>
  <c r="I49" i="3"/>
  <c r="I50" i="3"/>
  <c r="I51" i="3"/>
  <c r="I52" i="3"/>
  <c r="I53" i="3"/>
  <c r="I54" i="3"/>
  <c r="I55" i="3"/>
  <c r="I56" i="3"/>
  <c r="I32" i="3"/>
  <c r="I33" i="3"/>
  <c r="I34" i="3"/>
  <c r="I35" i="3"/>
  <c r="I36" i="3"/>
  <c r="I38" i="3"/>
  <c r="I39" i="3"/>
  <c r="I40" i="3"/>
  <c r="I41" i="3"/>
  <c r="I42" i="3"/>
  <c r="I44" i="3"/>
  <c r="I45" i="3"/>
  <c r="I20" i="3"/>
  <c r="I21" i="3"/>
  <c r="I22" i="3"/>
  <c r="I23" i="3"/>
  <c r="I24" i="3"/>
  <c r="I25" i="3"/>
  <c r="I26" i="3"/>
  <c r="I27" i="3"/>
  <c r="I28" i="3"/>
  <c r="I29" i="3"/>
  <c r="I30" i="3"/>
  <c r="I9" i="3"/>
  <c r="I10" i="3"/>
  <c r="I11" i="3"/>
  <c r="I12" i="3"/>
  <c r="I13" i="3"/>
  <c r="I14" i="3"/>
  <c r="I16" i="3"/>
  <c r="I17" i="3"/>
  <c r="I18" i="3"/>
  <c r="I8" i="3"/>
  <c r="G47" i="3"/>
  <c r="G48" i="3"/>
  <c r="G49" i="3"/>
  <c r="G50" i="3"/>
  <c r="G51" i="3"/>
  <c r="G52" i="3"/>
  <c r="G53" i="3"/>
  <c r="G54" i="3"/>
  <c r="G55" i="3"/>
  <c r="G56" i="3"/>
  <c r="G46" i="3"/>
  <c r="G32" i="3"/>
  <c r="G33" i="3"/>
  <c r="G34" i="3"/>
  <c r="G35" i="3"/>
  <c r="G36" i="3"/>
  <c r="G38" i="3"/>
  <c r="G39" i="3"/>
  <c r="G40" i="3"/>
  <c r="G41" i="3"/>
  <c r="G42" i="3"/>
  <c r="G44" i="3"/>
  <c r="G45" i="3"/>
  <c r="G31" i="3"/>
  <c r="G20" i="3"/>
  <c r="G21" i="3"/>
  <c r="G22" i="3"/>
  <c r="G23" i="3"/>
  <c r="G24" i="3"/>
  <c r="G25" i="3"/>
  <c r="G26" i="3"/>
  <c r="G27" i="3"/>
  <c r="G28" i="3"/>
  <c r="G29" i="3"/>
  <c r="G30" i="3"/>
  <c r="G19" i="3"/>
  <c r="G9" i="3"/>
  <c r="G10" i="3"/>
  <c r="G11" i="3"/>
  <c r="G12" i="3"/>
  <c r="G13" i="3"/>
  <c r="G14" i="3"/>
  <c r="G16" i="3"/>
  <c r="G17" i="3"/>
  <c r="G18" i="3"/>
  <c r="G8" i="3"/>
  <c r="U56" i="3"/>
  <c r="AD8" i="3" l="1"/>
  <c r="AE8" i="3" s="1"/>
  <c r="AD14" i="3"/>
  <c r="AE14" i="3" s="1"/>
  <c r="AD10" i="3"/>
  <c r="AE10" i="3" s="1"/>
  <c r="AD29" i="3"/>
  <c r="AE29" i="3" s="1"/>
  <c r="AD25" i="3"/>
  <c r="AE25" i="3" s="1"/>
  <c r="AD21" i="3"/>
  <c r="AE21" i="3" s="1"/>
  <c r="AD44" i="3"/>
  <c r="AE44" i="3" s="1"/>
  <c r="AD40" i="3"/>
  <c r="AE40" i="3" s="1"/>
  <c r="AD35" i="3"/>
  <c r="AE35" i="3" s="1"/>
  <c r="AD46" i="3"/>
  <c r="AE46" i="3" s="1"/>
  <c r="AD53" i="3"/>
  <c r="AE53" i="3" s="1"/>
  <c r="AD49" i="3"/>
  <c r="AE49" i="3" s="1"/>
  <c r="AD27" i="3"/>
  <c r="AE27" i="3" s="1"/>
  <c r="AD23" i="3"/>
  <c r="AE23" i="3" s="1"/>
  <c r="AD19" i="3"/>
  <c r="AE19" i="3" s="1"/>
  <c r="AD50" i="3"/>
  <c r="AE50" i="3" s="1"/>
  <c r="AD47" i="3"/>
  <c r="AE47" i="3" s="1"/>
  <c r="AD17" i="3"/>
  <c r="AE17" i="3" s="1"/>
  <c r="AD13" i="3"/>
  <c r="AE13" i="3" s="1"/>
  <c r="AD28" i="3"/>
  <c r="AE28" i="3" s="1"/>
  <c r="AD20" i="3"/>
  <c r="AE20" i="3" s="1"/>
  <c r="AD39" i="3"/>
  <c r="AE39" i="3" s="1"/>
  <c r="AD48" i="3"/>
  <c r="AE48" i="3" s="1"/>
  <c r="AD18" i="3"/>
  <c r="AE18" i="3" s="1"/>
  <c r="AD9" i="3"/>
  <c r="AE9" i="3" s="1"/>
  <c r="AD24" i="3"/>
  <c r="AE24" i="3" s="1"/>
  <c r="AD43" i="3"/>
  <c r="AE43" i="3" s="1"/>
  <c r="AD34" i="3"/>
  <c r="AE34" i="3" s="1"/>
  <c r="AD52" i="3"/>
  <c r="AE52" i="3" s="1"/>
  <c r="AD31" i="3"/>
  <c r="AE31" i="3" s="1"/>
  <c r="AD42" i="3"/>
  <c r="AE42" i="3" s="1"/>
  <c r="AD38" i="3"/>
  <c r="AE38" i="3" s="1"/>
  <c r="AD33" i="3"/>
  <c r="AE33" i="3" s="1"/>
  <c r="AD51" i="3"/>
  <c r="AE51" i="3" s="1"/>
  <c r="AD12" i="3"/>
  <c r="AE12" i="3" s="1"/>
  <c r="AD16" i="3"/>
  <c r="AE16" i="3" s="1"/>
  <c r="AD11" i="3"/>
  <c r="AE11" i="3" s="1"/>
  <c r="AD30" i="3"/>
  <c r="AE30" i="3" s="1"/>
  <c r="AD26" i="3"/>
  <c r="AE26" i="3" s="1"/>
  <c r="AD22" i="3"/>
  <c r="AE22" i="3" s="1"/>
  <c r="AD45" i="3"/>
  <c r="AE45" i="3" s="1"/>
  <c r="AD41" i="3"/>
  <c r="AE41" i="3" s="1"/>
  <c r="AD36" i="3"/>
  <c r="AE36" i="3" s="1"/>
  <c r="AD32" i="3"/>
  <c r="AE32" i="3" s="1"/>
  <c r="AD54" i="3"/>
  <c r="AE54" i="3" s="1"/>
  <c r="AD55" i="3"/>
  <c r="AE55" i="3" s="1"/>
  <c r="AD56" i="3"/>
  <c r="AE56" i="3" s="1"/>
</calcChain>
</file>

<file path=xl/sharedStrings.xml><?xml version="1.0" encoding="utf-8"?>
<sst xmlns="http://schemas.openxmlformats.org/spreadsheetml/2006/main" count="402" uniqueCount="205">
  <si>
    <t>NATIONAL COOPERATIVE COUNCIL OF SRI LANKA, NO 455, GALLE ROAD, COLOMBO 03</t>
  </si>
  <si>
    <t>Paper Marks and Projects Marks</t>
  </si>
  <si>
    <t>ID NO</t>
  </si>
  <si>
    <t xml:space="preserve">INDEX NO </t>
  </si>
  <si>
    <t>TOTAL</t>
  </si>
  <si>
    <t>03</t>
  </si>
  <si>
    <t>04</t>
  </si>
  <si>
    <t>06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</si>
  <si>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</si>
  <si>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</si>
  <si>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</si>
  <si>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</si>
  <si>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</si>
  <si>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</si>
  <si>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</si>
  <si>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</si>
  <si>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</si>
  <si>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</si>
  <si>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AVERAGE</t>
  </si>
  <si>
    <t>CLASS</t>
  </si>
  <si>
    <t>(85-100 = A+ / 80-84  =  A  / 75-79  =  A- / 70-74  =  B+ / 65-69  =  B / 60-64  =  B- / 55-59=C+ / 50-54 = C / 45-49 = C- / 40-44 = D+ / 35-39 = D / 0-34  =  F)</t>
  </si>
  <si>
    <t xml:space="preserve">Diploma in Human Resource Management  -  Academic Year 2024/2025  </t>
  </si>
  <si>
    <t xml:space="preserve">         1st Semester Exam  - 23 and 24 April, 2025                            2nd Semester Exam  -  24 and 25 February, 2026</t>
  </si>
  <si>
    <t>MODULE   01</t>
  </si>
  <si>
    <t>MODULE   02</t>
  </si>
  <si>
    <t>MODULE   03</t>
  </si>
  <si>
    <t>MODULE   04</t>
  </si>
  <si>
    <t>MODULE   05</t>
  </si>
  <si>
    <t>MODULE   06</t>
  </si>
  <si>
    <t>MODULE   07</t>
  </si>
  <si>
    <t>MODULE   08</t>
  </si>
  <si>
    <t>MODULE   09</t>
  </si>
  <si>
    <t>MODULE   10</t>
  </si>
  <si>
    <t>MODULE   11</t>
  </si>
  <si>
    <t>MODULE   12</t>
  </si>
  <si>
    <t>Name of the Candidate</t>
  </si>
  <si>
    <t>Herath Mudiyanselage Sriyani Herath</t>
  </si>
  <si>
    <t>827480789 V</t>
  </si>
  <si>
    <t>24/DHRM/001</t>
  </si>
  <si>
    <t>24/DHRM/002</t>
  </si>
  <si>
    <t>24/DHRM/003</t>
  </si>
  <si>
    <t>24/DHRM/004</t>
  </si>
  <si>
    <t>Pathirage Dona Shyamalee Pushpalatha Jayawardena</t>
  </si>
  <si>
    <t>Kalupahana Liyana Arachchilage Aruni Nilmini</t>
  </si>
  <si>
    <t>776362409 V</t>
  </si>
  <si>
    <t>24/DHRM/005</t>
  </si>
  <si>
    <t>Hewa Pedige Niluka Nawodani Wimalagunawardana</t>
  </si>
  <si>
    <t>24/DHRM/006</t>
  </si>
  <si>
    <t>Ranathunga Arachchilage Chamodani Eresha Ranathunga</t>
  </si>
  <si>
    <t>24/DHRM/007</t>
  </si>
  <si>
    <t>Chamika Nishani Peellekumbura</t>
  </si>
  <si>
    <t>847640340 V</t>
  </si>
  <si>
    <t>24/DHRM/008</t>
  </si>
  <si>
    <t>Herath Mudiyanselage Nilmini Herath Manike</t>
  </si>
  <si>
    <t>24/DHRM/009</t>
  </si>
  <si>
    <t>24/DHRM/011</t>
  </si>
  <si>
    <t>Ekanayaka Mudiyanselage Dulani Thusitha Ekanayake</t>
  </si>
  <si>
    <t>24/DHRM/012</t>
  </si>
  <si>
    <t>Konara Mudiyanselage Sumitha Lakmini Kumari</t>
  </si>
  <si>
    <t>24/DHRM/013</t>
  </si>
  <si>
    <t>Singhapura Dewayale Varuni Kalyani Karunathilaka</t>
  </si>
  <si>
    <t>877032388 V</t>
  </si>
  <si>
    <t>Handi Weda Gedara Wasana Kumari Dombagahagedara</t>
  </si>
  <si>
    <t>24/DHRM/014</t>
  </si>
  <si>
    <t>24/DHRM/015</t>
  </si>
  <si>
    <t>Dissanayaka Mudiyanselage Helapita Gedara Ayesha Maduwanthi Dissanayaka</t>
  </si>
  <si>
    <t>916041748 V</t>
  </si>
  <si>
    <t>24/DHRM/016</t>
  </si>
  <si>
    <t>Pathiraja Mudiyanselage Shirani Pathiraja</t>
  </si>
  <si>
    <t>24/DHRM/017</t>
  </si>
  <si>
    <t>24/DHRM/019</t>
  </si>
  <si>
    <t>Henegama Liyanage Don Nadeesha Thushari Liyanage</t>
  </si>
  <si>
    <t>856232077 V</t>
  </si>
  <si>
    <t>24/DHRM/020</t>
  </si>
  <si>
    <t>Gampahe Koralalage Anoma Weerasinghe</t>
  </si>
  <si>
    <t>24/DHRM/021</t>
  </si>
  <si>
    <t>Athukoralalage Irosha Udayangi Wijethunga</t>
  </si>
  <si>
    <t>835390934 V</t>
  </si>
  <si>
    <t>24/DHRM/022</t>
  </si>
  <si>
    <t>24/DHRM/023</t>
  </si>
  <si>
    <t>Somapalage Sanduni Rasikala Pinnawala</t>
  </si>
  <si>
    <t>24/DHRM/024</t>
  </si>
  <si>
    <t>Weerasooriya Arachchilage Nilanthi Weerasooriya</t>
  </si>
  <si>
    <t>24/DHRM/025</t>
  </si>
  <si>
    <t>24/DHRM/030</t>
  </si>
  <si>
    <t>Wanni Arachchilage Saman Kumara Wanni Arachchi</t>
  </si>
  <si>
    <t>741942186 V</t>
  </si>
  <si>
    <t>24/DHRM/031</t>
  </si>
  <si>
    <t>Jayakodi Arachchige Sathya Gayani Ruwanthika Jayakodi</t>
  </si>
  <si>
    <t>925282634 V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</si>
  <si>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</si>
  <si>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</si>
  <si>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</si>
  <si>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</si>
  <si>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</si>
  <si>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</si>
  <si>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</si>
  <si>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</si>
  <si>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</si>
  <si>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</si>
  <si>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</si>
  <si>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</si>
  <si>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</si>
  <si>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</si>
  <si>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</si>
  <si>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</si>
  <si>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</si>
  <si>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</si>
  <si>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</si>
  <si>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</si>
  <si>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</si>
  <si>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</si>
  <si>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</si>
  <si>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</si>
  <si>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</si>
  <si>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</si>
  <si>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</si>
  <si>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</si>
  <si>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24/DHRM/032</t>
  </si>
  <si>
    <t>Hangili Gedara Darshika Nilangani Wijedasa</t>
  </si>
  <si>
    <t>768071543 V</t>
  </si>
  <si>
    <t>24/DHRM/033</t>
  </si>
  <si>
    <t>Hiyara Gamage Dinodhya Thilomini Gamage</t>
  </si>
  <si>
    <t>977062063 V</t>
  </si>
  <si>
    <t>24/DHRM/034</t>
  </si>
  <si>
    <t>24/DHRM/037</t>
  </si>
  <si>
    <t>Menika Durayalage Harshani Pemarathna</t>
  </si>
  <si>
    <t>887163448 V</t>
  </si>
  <si>
    <t>24/DHRM/038</t>
  </si>
  <si>
    <t>24/DHRM/044</t>
  </si>
  <si>
    <t>Boralugodage Ruwanthika Lakmali</t>
  </si>
  <si>
    <t>24/DHRM/045</t>
  </si>
  <si>
    <t>Ivanthika Preethi Gunathilaka</t>
  </si>
  <si>
    <t>24/DHRM/046</t>
  </si>
  <si>
    <t>Rathnayaka Mudiyanselage Podimenike</t>
  </si>
  <si>
    <t>716781950 V</t>
  </si>
  <si>
    <t>24/DHRM/047</t>
  </si>
  <si>
    <t>Amarathunga Arachchilage Daminda Deepal Amaratunga</t>
  </si>
  <si>
    <t>822883494 V</t>
  </si>
  <si>
    <t>24/DHRM/048</t>
  </si>
  <si>
    <t>Kankanamge Jayanthika Dhanukshi Dharmaratne</t>
  </si>
  <si>
    <t>917441480 V</t>
  </si>
  <si>
    <t>24/DHRM/049</t>
  </si>
  <si>
    <t>Wickramasekara Heellage Raweesha Chalani</t>
  </si>
  <si>
    <t>935830141 V</t>
  </si>
  <si>
    <t>24/DHRM/010</t>
  </si>
  <si>
    <t>Kankanam Manage Nelka Tharangani</t>
  </si>
  <si>
    <t>797700517 V</t>
  </si>
  <si>
    <t>Dayana Sampath Darshaniee Widanapathirana</t>
  </si>
  <si>
    <t>847252502 V</t>
  </si>
  <si>
    <t>797673986 V</t>
  </si>
  <si>
    <t>Panamulla Arachchige Thushari Priyangani</t>
  </si>
  <si>
    <t>7370614930 V</t>
  </si>
  <si>
    <t>24/DHRM/026</t>
  </si>
  <si>
    <t>24/DHRM/027</t>
  </si>
  <si>
    <t>Deepika Punchihewa</t>
  </si>
  <si>
    <t>776500798 V</t>
  </si>
  <si>
    <t>24/DHRM/028</t>
  </si>
  <si>
    <t>Demalgiriya Gamage Nayana Wasanthi</t>
  </si>
  <si>
    <t>738570324 V</t>
  </si>
  <si>
    <t>24/DHRM/029</t>
  </si>
  <si>
    <t>Hewa Arachchige Upul Gamini</t>
  </si>
  <si>
    <t>Maha Durage Thilakasiri</t>
  </si>
  <si>
    <t>24/DHRM/035</t>
  </si>
  <si>
    <t>24/DHRM/036</t>
  </si>
  <si>
    <t>Sujani Anurangika Weerasinghe</t>
  </si>
  <si>
    <t>795390219 V</t>
  </si>
  <si>
    <t>24/DHRM/039</t>
  </si>
  <si>
    <t>Palliya Guruge Tekla Madumali</t>
  </si>
  <si>
    <t>24/DHRM/040</t>
  </si>
  <si>
    <t>24/DHRM/041</t>
  </si>
  <si>
    <t>Dilhani Rasika Wannigamage</t>
  </si>
  <si>
    <t>24/DHRM/043</t>
  </si>
  <si>
    <t>Paranamanage Lasantha Sanjeewani</t>
  </si>
  <si>
    <t>24/DHRM/018</t>
  </si>
  <si>
    <t>24/DHRM/042</t>
  </si>
  <si>
    <t>ab</t>
  </si>
  <si>
    <t>Raini Nathasha Marssinghe</t>
  </si>
  <si>
    <t>Rukunayakage |Sagarika Kumari Karunathilaka</t>
  </si>
  <si>
    <t>Sinhala Pedi Durayalage Dilmi Sithara Prabhashini</t>
  </si>
  <si>
    <t>Amarasinghe Mudiyanselage Dinusha Madubashini Amarasinghe</t>
  </si>
  <si>
    <t>907433455 V</t>
  </si>
  <si>
    <t>Kamburugoda Kankanamalage Shirani Damayanthi</t>
  </si>
  <si>
    <t>Rathnayaka Mudiyanselage Nayana Nilanthi Rathnayaka</t>
  </si>
  <si>
    <t>717111729 V</t>
  </si>
  <si>
    <t>Wasala Mudiyanselage Manjula Malkanthi Wasala</t>
  </si>
  <si>
    <t>Muthunayaka Durayalage Sujeewa Priyangika Gunarathna</t>
  </si>
  <si>
    <t>Meegasdeniya Kankanamge Ruwan Chamadu Madusanka</t>
  </si>
  <si>
    <t>810855487 V</t>
  </si>
  <si>
    <t>Ordinary Pass</t>
  </si>
  <si>
    <t>Second Class</t>
  </si>
  <si>
    <t>Absent</t>
  </si>
  <si>
    <t>Not Completed</t>
  </si>
  <si>
    <t>First Class</t>
  </si>
  <si>
    <t>01</t>
  </si>
  <si>
    <t>02</t>
  </si>
  <si>
    <t>05</t>
  </si>
  <si>
    <t>07</t>
  </si>
  <si>
    <t>08</t>
  </si>
  <si>
    <t>09</t>
  </si>
  <si>
    <t>10</t>
  </si>
  <si>
    <t>11</t>
  </si>
  <si>
    <t>Place</t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</si>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</sst>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4" xfId="0" applyFont="1" applyBorder="1" applyAlignment="1">
      <alignment vertical="top" wrapText="1"/>
    </xf>
    <xf numFmtId="1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8" xfId="0" applyFont="1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" fillId="0" borderId="18" xfId="0" applyFont="1" applyBorder="1" applyAlignment="1">
      <alignment horizontal="center" textRotation="90" wrapText="1"/>
    </xf>
    <xf numFmtId="0" fontId="2" fillId="0" borderId="19" xfId="0" quotePrefix="1" applyFont="1" applyBorder="1" applyAlignment="1">
      <alignment horizontal="center" vertical="center"/>
    </xf>
    <xf numFmtId="0" fontId="2" fillId="0" borderId="20" xfId="0" applyFont="1" applyBorder="1" applyAlignment="1">
      <alignment vertical="top" wrapText="1"/>
    </xf>
    <xf numFmtId="0" fontId="2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0" fillId="0" borderId="20" xfId="0" applyBorder="1"/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/>
    <xf numFmtId="0" fontId="7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47624</xdr:rowOff>
    </xdr:from>
    <xdr:to>
      <xdr:col>2</xdr:col>
      <xdr:colOff>1524000</xdr:colOff>
      <xdr:row>4</xdr:row>
      <xdr:rowOff>47625</xdr:rowOff>
    </xdr:to>
    <xdr:pic>
      <xdr:nvPicPr>
        <xdr:cNvPr id="2" name="Picture 1" descr="NCCLOGO">
          <a:extLst>
            <a:ext uri="{FF2B5EF4-FFF2-40B4-BE49-F238E27FC236}">
              <a16:creationId xmlns:a16="http://schemas.microsoft.com/office/drawing/2014/main" id="{8F774D30-3DE6-B326-4177-6BBC2EF6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495299"/>
          <a:ext cx="914400" cy="8858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tabSelected="1" zoomScale="54" zoomScaleNormal="80" zoomScaleSheetLayoutView="100" workbookViewId="0">
      <selection activeCell="AM14" sqref="AM14"/>
    </sheetView>
  </sheetViews>
  <sheetFormatPr defaultRowHeight="14.4" x14ac:dyDescent="0.3"/>
  <cols>
    <col min="1" max="1" width="2.6640625" customWidth="1"/>
    <col min="2" max="2" width="5.44140625" customWidth="1"/>
    <col min="3" max="3" width="25.44140625" customWidth="1"/>
    <col min="4" max="4" width="15.33203125" customWidth="1"/>
    <col min="5" max="5" width="17.5546875" customWidth="1"/>
    <col min="6" max="29" width="4.44140625" customWidth="1"/>
    <col min="30" max="31" width="10.33203125" customWidth="1"/>
    <col min="32" max="32" width="16.33203125" customWidth="1"/>
    <col min="33" max="33" width="1" hidden="1" customWidth="1"/>
  </cols>
  <sheetData>
    <row r="1" spans="2:34" s="6" customFormat="1" ht="20.25" customHeight="1" x14ac:dyDescent="0.3"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</row>
    <row r="2" spans="2:34" s="6" customFormat="1" ht="23.25" customHeight="1" x14ac:dyDescent="0.3">
      <c r="B2" s="36" t="s">
        <v>21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</row>
    <row r="3" spans="2:34" s="6" customFormat="1" ht="23.25" customHeight="1" x14ac:dyDescent="0.3">
      <c r="B3" s="36" t="s">
        <v>22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 spans="2:34" s="6" customFormat="1" ht="23.25" customHeight="1" x14ac:dyDescent="0.3">
      <c r="B4" s="36" t="s">
        <v>1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</row>
    <row r="5" spans="2:34" s="6" customFormat="1" ht="45.75" customHeight="1" x14ac:dyDescent="0.3">
      <c r="B5" s="36" t="s">
        <v>20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</row>
    <row r="6" spans="2:34" ht="78" customHeight="1" x14ac:dyDescent="0.3">
      <c r="B6" s="44"/>
      <c r="C6" s="45" t="s">
        <v>35</v>
      </c>
      <c r="D6" s="46" t="s">
        <v>2</v>
      </c>
      <c r="E6" s="45" t="s">
        <v>3</v>
      </c>
      <c r="F6" s="40" t="s">
        <v>23</v>
      </c>
      <c r="G6" s="39"/>
      <c r="H6" s="38" t="s">
        <v>24</v>
      </c>
      <c r="I6" s="39"/>
      <c r="J6" s="38" t="s">
        <v>25</v>
      </c>
      <c r="K6" s="39"/>
      <c r="L6" s="38" t="s">
        <v>26</v>
      </c>
      <c r="M6" s="39"/>
      <c r="N6" s="38" t="s">
        <v>27</v>
      </c>
      <c r="O6" s="39"/>
      <c r="P6" s="38" t="s">
        <v>28</v>
      </c>
      <c r="Q6" s="39"/>
      <c r="R6" s="38" t="s">
        <v>29</v>
      </c>
      <c r="S6" s="39"/>
      <c r="T6" s="38" t="s">
        <v>30</v>
      </c>
      <c r="U6" s="39"/>
      <c r="V6" s="38" t="s">
        <v>31</v>
      </c>
      <c r="W6" s="39"/>
      <c r="X6" s="38" t="s">
        <v>32</v>
      </c>
      <c r="Y6" s="39"/>
      <c r="Z6" s="38" t="s">
        <v>33</v>
      </c>
      <c r="AA6" s="39"/>
      <c r="AB6" s="38" t="s">
        <v>34</v>
      </c>
      <c r="AC6" s="39"/>
      <c r="AD6" s="53" t="s">
        <v>4</v>
      </c>
      <c r="AE6" s="53" t="s">
        <v>18</v>
      </c>
      <c r="AF6" s="53" t="s">
        <v>19</v>
      </c>
      <c r="AG6" s="54"/>
      <c r="AH6" s="55" t="s">
        <v>202</v>
      </c>
    </row>
    <row r="7" spans="2:34" ht="44.25" customHeight="1" x14ac:dyDescent="0.3">
      <c r="B7" s="44"/>
      <c r="C7" s="45"/>
      <c r="D7" s="46"/>
      <c r="E7" s="45"/>
      <c r="F7" s="48" t="s">
        <v>203</v>
      </c>
      <c r="G7" s="48" t="s">
        <v>204</v>
      </c>
      <c r="H7" s="48" t="s">
        <v>203</v>
      </c>
      <c r="I7" s="48" t="s">
        <v>204</v>
      </c>
      <c r="J7" s="48" t="s">
        <v>203</v>
      </c>
      <c r="K7" s="48" t="s">
        <v>204</v>
      </c>
      <c r="L7" s="48" t="s">
        <v>203</v>
      </c>
      <c r="M7" s="48" t="s">
        <v>204</v>
      </c>
      <c r="N7" s="48" t="s">
        <v>203</v>
      </c>
      <c r="O7" s="48" t="s">
        <v>204</v>
      </c>
      <c r="P7" s="48" t="s">
        <v>203</v>
      </c>
      <c r="Q7" s="48" t="s">
        <v>204</v>
      </c>
      <c r="R7" s="48" t="s">
        <v>203</v>
      </c>
      <c r="S7" s="48" t="s">
        <v>204</v>
      </c>
      <c r="T7" s="48" t="s">
        <v>203</v>
      </c>
      <c r="U7" s="48" t="s">
        <v>204</v>
      </c>
      <c r="V7" s="48" t="s">
        <v>203</v>
      </c>
      <c r="W7" s="48" t="s">
        <v>204</v>
      </c>
      <c r="X7" s="48" t="s">
        <v>203</v>
      </c>
      <c r="Y7" s="48" t="s">
        <v>204</v>
      </c>
      <c r="Z7" s="48" t="s">
        <v>203</v>
      </c>
      <c r="AA7" s="48" t="s">
        <v>204</v>
      </c>
      <c r="AB7" s="48" t="s">
        <v>203</v>
      </c>
      <c r="AC7" s="48" t="s">
        <v>204</v>
      </c>
      <c r="AD7" s="53"/>
      <c r="AE7" s="53"/>
      <c r="AF7" s="53"/>
      <c r="AG7" s="35"/>
      <c r="AH7" s="55"/>
    </row>
    <row r="8" spans="2:34" ht="39.75" customHeight="1" thickBot="1" x14ac:dyDescent="0.35">
      <c r="B8" s="41" t="s">
        <v>194</v>
      </c>
      <c r="C8" s="42" t="s">
        <v>36</v>
      </c>
      <c r="D8" s="43" t="s">
        <v>37</v>
      </c>
      <c r="E8" s="10" t="s">
        <v>38</v>
      </c>
      <c r="F8" s="47">
        <v>53</v>
      </c>
      <c r="G8" s="10" t="str">
        <f>IF(F8="-", "Absent", IF(F8&gt;=85, "A+", IF(F8&gt;=80, "A", IF(F8&gt;=75, "A-", IF(F8&gt;=70, "B+",IF(F8&gt;=65, "B", IF(F8&gt;=60, "B-", IF(F8&gt;=55, "C+", IF(F8&gt;=50, "C", IF(F8&gt;=45, "C-", IF(F8&gt;=39, "D+", IF(F8&gt;=35, "D", IF(F8&gt;=0, "F" )))))))))))))</f>
        <v>C</v>
      </c>
      <c r="H8" s="47">
        <v>59</v>
      </c>
      <c r="I8" s="10" t="str">
        <f>IF(H8="-", "Absent", IF(H8&gt;=85, "A+", IF(H8&gt;=80, "A", IF(H8&gt;=75, "A-", IF(H8&gt;=70, "B+",IF(H8&gt;=65, "B", IF(H8&gt;=60, "B-", IF(H8&gt;=55, "C+", IF(H8&gt;=50, "C", IF(H8&gt;=45, "C-", IF(H8&gt;=39, "D+", IF(H8&gt;=35, "D", IF(H8&gt;=0, "F" )))))))))))))</f>
        <v>C+</v>
      </c>
      <c r="J8" s="47">
        <v>71</v>
      </c>
      <c r="K8" s="10" t="str">
        <f>IF(J8="-", "Absent", IF(J8&gt;=85, "A+", IF(J8&gt;=80, "A", IF(J8&gt;=75, "A-", IF(J8&gt;=70, "B+",IF(J8&gt;=65, "B", IF(J8&gt;=60, "B-", IF(J8&gt;=55, "C+", IF(J8&gt;=50, "C", IF(J8&gt;=45, "C-", IF(J8&gt;=39, "D+", IF(J8&gt;=35, "D", IF(J8&gt;=0, "F" )))))))))))))</f>
        <v>B+</v>
      </c>
      <c r="L8" s="47">
        <v>53</v>
      </c>
      <c r="M8" s="10" t="str">
        <f>IF(L8="-", "Absent", IF(L8&gt;=85, "A+", IF(L8&gt;=80, "A", IF(L8&gt;=75, "A-", IF(L8&gt;=70, "B+",IF(L8&gt;=65, "B", IF(L8&gt;=60, "B-", IF(L8&gt;=55, "C+", IF(L8&gt;=50, "C", IF(L8&gt;=45, "C-", IF(L8&gt;=39, "D+", IF(L8&gt;=35, "D", IF(L8&gt;=0, "F" )))))))))))))</f>
        <v>C</v>
      </c>
      <c r="N8" s="47">
        <v>62</v>
      </c>
      <c r="O8" s="10" t="str">
        <f>IF(N8="-", "Absent", IF(N8&gt;=85, "A+", IF(N8&gt;=80, "A", IF(N8&gt;=75, "A-", IF(N8&gt;=70, "B+",IF(N8&gt;=65, "B", IF(N8&gt;=60, "B-", IF(N8&gt;=55, "C+", IF(N8&gt;=50, "C", IF(N8&gt;=45, "C-", IF(N8&gt;=39, "D+", IF(N8&gt;=35, "D", IF(N8&gt;=0, "F" )))))))))))))</f>
        <v>B-</v>
      </c>
      <c r="P8" s="47">
        <v>58</v>
      </c>
      <c r="Q8" s="10" t="str">
        <f>IF(P8="-", "Absent", IF(P8&gt;=85, "A+", IF(P8&gt;=80, "A", IF(P8&gt;=75, "A-", IF(P8&gt;=70, "B+",IF(P8&gt;=65, "B", IF(P8&gt;=60, "B-", IF(P8&gt;=55, "C+", IF(P8&gt;=50, "C", IF(P8&gt;=45, "C-", IF(P8&gt;=39, "D+", IF(P8&gt;=35, "D", IF(P8&gt;=0, "F" )))))))))))))</f>
        <v>C+</v>
      </c>
      <c r="R8" s="43">
        <v>57</v>
      </c>
      <c r="S8" s="10" t="str">
        <f>IF(R8="-", "Absent", IF(R8&gt;=85, "A+", IF(R8&gt;=80, "A", IF(R8&gt;=75, "A-", IF(R8&gt;=70, "B+",IF(R8&gt;=65, "B", IF(R8&gt;=60, "B-", IF(R8&gt;=55, "C+", IF(R8&gt;=50, "C", IF(R8&gt;=45, "C-", IF(R8&gt;=39, "D+", IF(R8&gt;=35, "D", IF(R8&gt;=0, "F" )))))))))))))</f>
        <v>C+</v>
      </c>
      <c r="T8" s="43">
        <v>69</v>
      </c>
      <c r="U8" s="10" t="str">
        <f>IF(T8="-", "Absent", IF(T8&gt;=85, "A+", IF(T8&gt;=80, "A", IF(T8&gt;=75, "A-", IF(T8&gt;=70, "B+",IF(T8&gt;=65, "B", IF(T8&gt;=60, "B-", IF(T8&gt;=55, "C+", IF(T8&gt;=50, "C", IF(T8&gt;=45, "C-", IF(T8&gt;=39, "D+", IF(T8&gt;=35, "D", IF(T8&gt;=0, "F" )))))))))))))</f>
        <v>B</v>
      </c>
      <c r="V8" s="43">
        <v>66</v>
      </c>
      <c r="W8" s="10" t="str">
        <f>IF(V8="-", "Absent", IF(V8&gt;=85, "A+", IF(V8&gt;=80, "A", IF(V8&gt;=75, "A-", IF(V8&gt;=70, "B+",IF(V8&gt;=65, "B", IF(V8&gt;=60, "B-", IF(V8&gt;=55, "C+", IF(V8&gt;=50, "C", IF(V8&gt;=45, "C-", IF(V8&gt;=39, "D+", IF(V8&gt;=35, "D", IF(V8&gt;=0, "F" )))))))))))))</f>
        <v>B</v>
      </c>
      <c r="X8" s="47">
        <v>78</v>
      </c>
      <c r="Y8" s="10" t="str">
        <f>IF(X8="-", "Absent", IF(X8&gt;=85, "A+", IF(X8&gt;=80, "A", IF(X8&gt;=75, "A-", IF(X8&gt;=70, "B+",IF(X8&gt;=65, "B", IF(X8&gt;=60, "B-", IF(X8&gt;=55, "C+", IF(X8&gt;=50, "C", IF(X8&gt;=45, "C-", IF(X8&gt;=39, "D+", IF(X8&gt;=35, "D", IF(X8&gt;=0, "F" )))))))))))))</f>
        <v>A-</v>
      </c>
      <c r="Z8" s="43">
        <v>73</v>
      </c>
      <c r="AA8" s="10" t="str">
        <f>IF(Z8="-", "Absent", IF(Z8&gt;=85, "A+", IF(Z8&gt;=80, "A", IF(Z8&gt;=75, "A-", IF(Z8&gt;=70, "B+",IF(Z8&gt;=65, "B", IF(Z8&gt;=60, "B-", IF(Z8&gt;=55, "C+", IF(Z8&gt;=50, "C", IF(Z8&gt;=45, "C-", IF(Z8&gt;=39, "D+", IF(Z8&gt;=35, "D", IF(Z8&gt;=0, "F" )))))))))))))</f>
        <v>B+</v>
      </c>
      <c r="AB8" s="43">
        <v>71</v>
      </c>
      <c r="AC8" s="10" t="str">
        <f>IF(AB8="-", "Absent", IF(AB8&gt;=85, "A+", IF(AB8&gt;=80, "A", IF(AB8&gt;=75, "A-", IF(AB8&gt;=70, "B+",IF(AB8&gt;=65, "B", IF(AB8&gt;=60, "B-", IF(AB8&gt;=55, "C+", IF(AB8&gt;=50, "C", IF(AB8&gt;=45, "C-", IF(AB8&gt;=39, "D+", IF(AB8&gt;=35, "D", IF(AB8&gt;=0, "F" )))))))))))))</f>
        <v>B+</v>
      </c>
      <c r="AD8" s="47">
        <f>SUM(F8:AC8)</f>
        <v>770</v>
      </c>
      <c r="AE8" s="49">
        <f>AD8/12</f>
        <v>64.166666666666671</v>
      </c>
      <c r="AF8" s="50" t="s">
        <v>189</v>
      </c>
      <c r="AG8" s="51"/>
      <c r="AH8" s="52"/>
    </row>
    <row r="9" spans="2:34" ht="48.75" customHeight="1" thickBot="1" x14ac:dyDescent="0.35">
      <c r="B9" s="20" t="s">
        <v>195</v>
      </c>
      <c r="C9" s="18" t="s">
        <v>42</v>
      </c>
      <c r="D9" s="1" t="s">
        <v>150</v>
      </c>
      <c r="E9" s="7" t="s">
        <v>39</v>
      </c>
      <c r="F9" s="5">
        <v>65</v>
      </c>
      <c r="G9" s="7" t="str">
        <f t="shared" ref="G9:G18" si="0">IF(F9="-", "Absent", IF(F9&gt;=85, "A+", IF(F9&gt;=80, "A", IF(F9&gt;=75, "A-", IF(F9&gt;=70, "B+",IF(F9&gt;=65, "B", IF(F9&gt;=60, "B-", IF(F9&gt;=55, "C+", IF(F9&gt;=50, "C", IF(F9&gt;=45, "C-", IF(F9&gt;=39, "D+", IF(F9&gt;=35, "D", IF(F9&gt;=0, "F" )))))))))))))</f>
        <v>B</v>
      </c>
      <c r="H9" s="5">
        <v>70</v>
      </c>
      <c r="I9" s="7" t="str">
        <f t="shared" ref="I9:I18" si="1">IF(H9="-", "Absent", IF(H9&gt;=85, "A+", IF(H9&gt;=80, "A", IF(H9&gt;=75, "A-", IF(H9&gt;=70, "B+",IF(H9&gt;=65, "B", IF(H9&gt;=60, "B-", IF(H9&gt;=55, "C+", IF(H9&gt;=50, "C", IF(H9&gt;=45, "C-", IF(H9&gt;=39, "D+", IF(H9&gt;=35, "D", IF(H9&gt;=0, "F" )))))))))))))</f>
        <v>B+</v>
      </c>
      <c r="J9" s="5">
        <v>76</v>
      </c>
      <c r="K9" s="7" t="str">
        <f t="shared" ref="K9:K18" si="2">IF(J9="-", "Absent", IF(J9&gt;=85, "A+", IF(J9&gt;=80, "A", IF(J9&gt;=75, "A-", IF(J9&gt;=70, "B+",IF(J9&gt;=65, "B", IF(J9&gt;=60, "B-", IF(J9&gt;=55, "C+", IF(J9&gt;=50, "C", IF(J9&gt;=45, "C-", IF(J9&gt;=39, "D+", IF(J9&gt;=35, "D", IF(J9&gt;=0, "F" )))))))))))))</f>
        <v>A-</v>
      </c>
      <c r="L9" s="5">
        <v>70</v>
      </c>
      <c r="M9" s="7" t="str">
        <f t="shared" ref="M9:M18" si="3">IF(L9="-", "Absent", IF(L9&gt;=85, "A+", IF(L9&gt;=80, "A", IF(L9&gt;=75, "A-", IF(L9&gt;=70, "B+",IF(L9&gt;=65, "B", IF(L9&gt;=60, "B-", IF(L9&gt;=55, "C+", IF(L9&gt;=50, "C", IF(L9&gt;=45, "C-", IF(L9&gt;=39, "D+", IF(L9&gt;=35, "D", IF(L9&gt;=0, "F" )))))))))))))</f>
        <v>B+</v>
      </c>
      <c r="N9" s="5">
        <v>69</v>
      </c>
      <c r="O9" s="7" t="str">
        <f t="shared" ref="O9:O18" si="4">IF(N9="-", "Absent", IF(N9&gt;=85, "A+", IF(N9&gt;=80, "A", IF(N9&gt;=75, "A-", IF(N9&gt;=70, "B+",IF(N9&gt;=65, "B", IF(N9&gt;=60, "B-", IF(N9&gt;=55, "C+", IF(N9&gt;=50, "C", IF(N9&gt;=45, "C-", IF(N9&gt;=39, "D+", IF(N9&gt;=35, "D", IF(N9&gt;=0, "F" )))))))))))))</f>
        <v>B</v>
      </c>
      <c r="P9" s="5">
        <v>61</v>
      </c>
      <c r="Q9" s="10" t="str">
        <f t="shared" ref="Q9:Q18" si="5">IF(P9="-", "Absent", IF(P9&gt;=85, "A+", IF(P9&gt;=80, "A", IF(P9&gt;=75, "A-", IF(P9&gt;=70, "B+",IF(P9&gt;=65, "B", IF(P9&gt;=60, "B-", IF(P9&gt;=55, "C+", IF(P9&gt;=50, "C", IF(P9&gt;=45, "C-", IF(P9&gt;=39, "D+", IF(P9&gt;=35, "D", IF(P9&gt;=0, "F" )))))))))))))</f>
        <v>B-</v>
      </c>
      <c r="R9" s="5">
        <v>66</v>
      </c>
      <c r="S9" s="10" t="str">
        <f t="shared" ref="S9:S18" si="6">IF(R9="-", "Absent", IF(R9&gt;=85, "A+", IF(R9&gt;=80, "A", IF(R9&gt;=75, "A-", IF(R9&gt;=70, "B+",IF(R9&gt;=65, "B", IF(R9&gt;=60, "B-", IF(R9&gt;=55, "C+", IF(R9&gt;=50, "C", IF(R9&gt;=45, "C-", IF(R9&gt;=39, "D+", IF(R9&gt;=35, "D", IF(R9&gt;=0, "F" )))))))))))))</f>
        <v>B</v>
      </c>
      <c r="T9" s="5">
        <v>74</v>
      </c>
      <c r="U9" s="10" t="str">
        <f t="shared" ref="U9:U18" si="7">IF(T9="-", "Absent", IF(T9&gt;=85, "A+", IF(T9&gt;=80, "A", IF(T9&gt;=75, "A-", IF(T9&gt;=70, "B+",IF(T9&gt;=65, "B", IF(T9&gt;=60, "B-", IF(T9&gt;=55, "C+", IF(T9&gt;=50, "C", IF(T9&gt;=45, "C-", IF(T9&gt;=39, "D+", IF(T9&gt;=35, "D", IF(T9&gt;=0, "F" )))))))))))))</f>
        <v>B+</v>
      </c>
      <c r="V9" s="5">
        <v>65</v>
      </c>
      <c r="W9" s="7" t="str">
        <f t="shared" ref="W9:W18" si="8">IF(V9="-", "Absent", IF(V9&gt;=85, "A+", IF(V9&gt;=80, "A", IF(V9&gt;=75, "A-", IF(V9&gt;=70, "B+",IF(V9&gt;=65, "B", IF(V9&gt;=60, "B-", IF(V9&gt;=55, "C+", IF(V9&gt;=50, "C", IF(V9&gt;=45, "C-", IF(V9&gt;=39, "D+", IF(V9&gt;=35, "D", IF(V9&gt;=0, "F" )))))))))))))</f>
        <v>B</v>
      </c>
      <c r="X9" s="5">
        <v>83</v>
      </c>
      <c r="Y9" s="10" t="str">
        <f t="shared" ref="Y9:Y18" si="9">IF(X9="-", "Absent", IF(X9&gt;=85, "A+", IF(X9&gt;=80, "A", IF(X9&gt;=75, "A-", IF(X9&gt;=70, "B+",IF(X9&gt;=65, "B", IF(X9&gt;=60, "B-", IF(X9&gt;=55, "C+", IF(X9&gt;=50, "C", IF(X9&gt;=45, "C-", IF(X9&gt;=39, "D+", IF(X9&gt;=35, "D", IF(X9&gt;=0, "F" )))))))))))))</f>
        <v>A</v>
      </c>
      <c r="Z9" s="5">
        <v>63</v>
      </c>
      <c r="AA9" s="10" t="str">
        <f t="shared" ref="AA9:AA18" si="10">IF(Z9="-", "Absent", IF(Z9&gt;=85, "A+", IF(Z9&gt;=80, "A", IF(Z9&gt;=75, "A-", IF(Z9&gt;=70, "B+",IF(Z9&gt;=65, "B", IF(Z9&gt;=60, "B-", IF(Z9&gt;=55, "C+", IF(Z9&gt;=50, "C", IF(Z9&gt;=45, "C-", IF(Z9&gt;=39, "D+", IF(Z9&gt;=35, "D", IF(Z9&gt;=0, "F" )))))))))))))</f>
        <v>B-</v>
      </c>
      <c r="AB9" s="5">
        <v>67</v>
      </c>
      <c r="AC9" s="10" t="str">
        <f t="shared" ref="AC9:AC18" si="11">IF(AB9="-", "Absent", IF(AB9&gt;=85, "A+", IF(AB9&gt;=80, "A", IF(AB9&gt;=75, "A-", IF(AB9&gt;=70, "B+",IF(AB9&gt;=65, "B", IF(AB9&gt;=60, "B-", IF(AB9&gt;=55, "C+", IF(AB9&gt;=50, "C", IF(AB9&gt;=45, "C-", IF(AB9&gt;=39, "D+", IF(AB9&gt;=35, "D", IF(AB9&gt;=0, "F" )))))))))))))</f>
        <v>B</v>
      </c>
      <c r="AD9" s="3">
        <f t="shared" ref="AD9:AD18" si="12">SUM(F9:AC9)</f>
        <v>829</v>
      </c>
      <c r="AE9" s="11">
        <f t="shared" ref="AE9:AE18" si="13">AD9/12</f>
        <v>69.083333333333329</v>
      </c>
      <c r="AF9" s="8" t="s">
        <v>190</v>
      </c>
      <c r="AG9" s="32"/>
      <c r="AH9" s="35"/>
    </row>
    <row r="10" spans="2:34" ht="48.75" customHeight="1" thickBot="1" x14ac:dyDescent="0.35">
      <c r="B10" s="20" t="s">
        <v>5</v>
      </c>
      <c r="C10" s="18" t="s">
        <v>43</v>
      </c>
      <c r="D10" s="1" t="s">
        <v>44</v>
      </c>
      <c r="E10" s="7" t="s">
        <v>41</v>
      </c>
      <c r="F10" s="3">
        <v>51</v>
      </c>
      <c r="G10" s="7" t="str">
        <f t="shared" si="0"/>
        <v>C</v>
      </c>
      <c r="H10" s="3">
        <v>62</v>
      </c>
      <c r="I10" s="7" t="str">
        <f t="shared" si="1"/>
        <v>B-</v>
      </c>
      <c r="J10" s="3">
        <v>66</v>
      </c>
      <c r="K10" s="7" t="str">
        <f t="shared" si="2"/>
        <v>B</v>
      </c>
      <c r="L10" s="3">
        <v>70</v>
      </c>
      <c r="M10" s="7" t="str">
        <f t="shared" si="3"/>
        <v>B+</v>
      </c>
      <c r="N10" s="13">
        <v>69</v>
      </c>
      <c r="O10" s="7" t="str">
        <f t="shared" si="4"/>
        <v>B</v>
      </c>
      <c r="P10" s="3">
        <v>66</v>
      </c>
      <c r="Q10" s="10" t="str">
        <f t="shared" si="5"/>
        <v>B</v>
      </c>
      <c r="R10" s="14">
        <v>71</v>
      </c>
      <c r="S10" s="10" t="str">
        <f t="shared" si="6"/>
        <v>B+</v>
      </c>
      <c r="T10" s="3">
        <v>66</v>
      </c>
      <c r="U10" s="10" t="str">
        <f t="shared" si="7"/>
        <v>B</v>
      </c>
      <c r="V10" s="3">
        <v>52</v>
      </c>
      <c r="W10" s="7" t="str">
        <f t="shared" si="8"/>
        <v>C</v>
      </c>
      <c r="X10" s="3">
        <v>66</v>
      </c>
      <c r="Y10" s="10" t="str">
        <f t="shared" si="9"/>
        <v>B</v>
      </c>
      <c r="Z10" s="3">
        <v>67</v>
      </c>
      <c r="AA10" s="10" t="str">
        <f t="shared" si="10"/>
        <v>B</v>
      </c>
      <c r="AB10" s="3">
        <v>62</v>
      </c>
      <c r="AC10" s="10" t="str">
        <f t="shared" si="11"/>
        <v>B-</v>
      </c>
      <c r="AD10" s="3">
        <f t="shared" si="12"/>
        <v>768</v>
      </c>
      <c r="AE10" s="11">
        <f t="shared" si="13"/>
        <v>64</v>
      </c>
      <c r="AF10" s="8" t="s">
        <v>189</v>
      </c>
      <c r="AG10" s="32"/>
      <c r="AH10" s="35"/>
    </row>
    <row r="11" spans="2:34" ht="48.75" customHeight="1" thickBot="1" x14ac:dyDescent="0.35">
      <c r="B11" s="20" t="s">
        <v>6</v>
      </c>
      <c r="C11" s="18" t="s">
        <v>46</v>
      </c>
      <c r="D11" s="2">
        <v>197557502070</v>
      </c>
      <c r="E11" s="7" t="s">
        <v>45</v>
      </c>
      <c r="F11" s="3">
        <v>50</v>
      </c>
      <c r="G11" s="7" t="str">
        <f t="shared" si="0"/>
        <v>C</v>
      </c>
      <c r="H11" s="3">
        <v>61</v>
      </c>
      <c r="I11" s="7" t="str">
        <f t="shared" si="1"/>
        <v>B-</v>
      </c>
      <c r="J11" s="3">
        <v>60</v>
      </c>
      <c r="K11" s="7" t="str">
        <f t="shared" si="2"/>
        <v>B-</v>
      </c>
      <c r="L11" s="3">
        <v>54</v>
      </c>
      <c r="M11" s="7" t="str">
        <f t="shared" si="3"/>
        <v>C</v>
      </c>
      <c r="N11" s="3">
        <v>53</v>
      </c>
      <c r="O11" s="7" t="str">
        <f t="shared" si="4"/>
        <v>C</v>
      </c>
      <c r="P11" s="3">
        <v>59</v>
      </c>
      <c r="Q11" s="10" t="str">
        <f t="shared" si="5"/>
        <v>C+</v>
      </c>
      <c r="R11" s="3">
        <v>71</v>
      </c>
      <c r="S11" s="10" t="str">
        <f t="shared" si="6"/>
        <v>B+</v>
      </c>
      <c r="T11" s="3">
        <v>63</v>
      </c>
      <c r="U11" s="10" t="str">
        <f t="shared" si="7"/>
        <v>B-</v>
      </c>
      <c r="V11" s="3">
        <v>64</v>
      </c>
      <c r="W11" s="7" t="str">
        <f t="shared" si="8"/>
        <v>B-</v>
      </c>
      <c r="X11" s="3">
        <v>72</v>
      </c>
      <c r="Y11" s="10" t="str">
        <f t="shared" si="9"/>
        <v>B+</v>
      </c>
      <c r="Z11" s="3">
        <v>64</v>
      </c>
      <c r="AA11" s="10" t="str">
        <f t="shared" si="10"/>
        <v>B-</v>
      </c>
      <c r="AB11" s="3">
        <v>63</v>
      </c>
      <c r="AC11" s="10" t="str">
        <f t="shared" si="11"/>
        <v>B-</v>
      </c>
      <c r="AD11" s="3">
        <f t="shared" si="12"/>
        <v>734</v>
      </c>
      <c r="AE11" s="11">
        <f t="shared" si="13"/>
        <v>61.166666666666664</v>
      </c>
      <c r="AF11" s="8" t="s">
        <v>189</v>
      </c>
      <c r="AG11" s="32"/>
      <c r="AH11" s="35"/>
    </row>
    <row r="12" spans="2:34" ht="40.5" customHeight="1" thickBot="1" x14ac:dyDescent="0.35">
      <c r="B12" s="20" t="s">
        <v>196</v>
      </c>
      <c r="C12" s="18" t="s">
        <v>48</v>
      </c>
      <c r="D12" s="2">
        <v>197851603265</v>
      </c>
      <c r="E12" s="7" t="s">
        <v>47</v>
      </c>
      <c r="F12" s="5">
        <v>58</v>
      </c>
      <c r="G12" s="7" t="str">
        <f t="shared" si="0"/>
        <v>C+</v>
      </c>
      <c r="H12" s="5">
        <v>63</v>
      </c>
      <c r="I12" s="7" t="str">
        <f t="shared" si="1"/>
        <v>B-</v>
      </c>
      <c r="J12" s="5">
        <v>71</v>
      </c>
      <c r="K12" s="7" t="str">
        <f t="shared" si="2"/>
        <v>B+</v>
      </c>
      <c r="L12" s="5">
        <v>66</v>
      </c>
      <c r="M12" s="7" t="str">
        <f t="shared" si="3"/>
        <v>B</v>
      </c>
      <c r="N12" s="5">
        <v>62</v>
      </c>
      <c r="O12" s="7" t="str">
        <f t="shared" si="4"/>
        <v>B-</v>
      </c>
      <c r="P12" s="5">
        <v>64</v>
      </c>
      <c r="Q12" s="10" t="str">
        <f t="shared" si="5"/>
        <v>B-</v>
      </c>
      <c r="R12" s="5">
        <v>67</v>
      </c>
      <c r="S12" s="10" t="str">
        <f t="shared" si="6"/>
        <v>B</v>
      </c>
      <c r="T12" s="5">
        <v>77</v>
      </c>
      <c r="U12" s="10" t="str">
        <f t="shared" si="7"/>
        <v>A-</v>
      </c>
      <c r="V12" s="5">
        <v>77</v>
      </c>
      <c r="W12" s="7" t="str">
        <f t="shared" si="8"/>
        <v>A-</v>
      </c>
      <c r="X12" s="5">
        <v>73</v>
      </c>
      <c r="Y12" s="10" t="str">
        <f t="shared" si="9"/>
        <v>B+</v>
      </c>
      <c r="Z12" s="5">
        <v>62</v>
      </c>
      <c r="AA12" s="10" t="str">
        <f t="shared" si="10"/>
        <v>B-</v>
      </c>
      <c r="AB12" s="5">
        <v>57</v>
      </c>
      <c r="AC12" s="10" t="str">
        <f t="shared" si="11"/>
        <v>C+</v>
      </c>
      <c r="AD12" s="3">
        <f t="shared" si="12"/>
        <v>797</v>
      </c>
      <c r="AE12" s="11">
        <f t="shared" si="13"/>
        <v>66.416666666666671</v>
      </c>
      <c r="AF12" s="8" t="s">
        <v>190</v>
      </c>
      <c r="AG12" s="32"/>
      <c r="AH12" s="35"/>
    </row>
    <row r="13" spans="2:34" ht="41.25" customHeight="1" thickBot="1" x14ac:dyDescent="0.35">
      <c r="B13" s="20" t="s">
        <v>7</v>
      </c>
      <c r="C13" s="18" t="s">
        <v>50</v>
      </c>
      <c r="D13" s="2" t="s">
        <v>51</v>
      </c>
      <c r="E13" s="7" t="s">
        <v>49</v>
      </c>
      <c r="F13" s="3">
        <v>61</v>
      </c>
      <c r="G13" s="7" t="str">
        <f t="shared" si="0"/>
        <v>B-</v>
      </c>
      <c r="H13" s="1">
        <v>75</v>
      </c>
      <c r="I13" s="7" t="str">
        <f t="shared" si="1"/>
        <v>A-</v>
      </c>
      <c r="J13" s="1">
        <v>72</v>
      </c>
      <c r="K13" s="7" t="str">
        <f t="shared" si="2"/>
        <v>B+</v>
      </c>
      <c r="L13" s="1">
        <v>70</v>
      </c>
      <c r="M13" s="7" t="str">
        <f t="shared" si="3"/>
        <v>B+</v>
      </c>
      <c r="N13" s="3">
        <v>64</v>
      </c>
      <c r="O13" s="7" t="str">
        <f t="shared" si="4"/>
        <v>B-</v>
      </c>
      <c r="P13" s="3">
        <v>69</v>
      </c>
      <c r="Q13" s="10" t="str">
        <f t="shared" si="5"/>
        <v>B</v>
      </c>
      <c r="R13" s="1">
        <v>85</v>
      </c>
      <c r="S13" s="10" t="str">
        <f t="shared" si="6"/>
        <v>A+</v>
      </c>
      <c r="T13" s="1">
        <v>78</v>
      </c>
      <c r="U13" s="10" t="str">
        <f t="shared" si="7"/>
        <v>A-</v>
      </c>
      <c r="V13" s="1">
        <v>76</v>
      </c>
      <c r="W13" s="7" t="str">
        <f t="shared" si="8"/>
        <v>A-</v>
      </c>
      <c r="X13" s="1">
        <v>75</v>
      </c>
      <c r="Y13" s="10" t="str">
        <f t="shared" si="9"/>
        <v>A-</v>
      </c>
      <c r="Z13" s="1">
        <v>76</v>
      </c>
      <c r="AA13" s="10" t="str">
        <f t="shared" si="10"/>
        <v>A-</v>
      </c>
      <c r="AB13" s="1">
        <v>70</v>
      </c>
      <c r="AC13" s="10" t="str">
        <f t="shared" si="11"/>
        <v>B+</v>
      </c>
      <c r="AD13" s="3">
        <f t="shared" si="12"/>
        <v>871</v>
      </c>
      <c r="AE13" s="11">
        <f t="shared" si="13"/>
        <v>72.583333333333329</v>
      </c>
      <c r="AF13" s="8" t="s">
        <v>190</v>
      </c>
      <c r="AG13" s="32"/>
      <c r="AH13" s="35"/>
    </row>
    <row r="14" spans="2:34" ht="38.25" customHeight="1" thickBot="1" x14ac:dyDescent="0.35">
      <c r="B14" s="20" t="s">
        <v>197</v>
      </c>
      <c r="C14" s="18" t="s">
        <v>53</v>
      </c>
      <c r="D14" s="2">
        <v>197664101410</v>
      </c>
      <c r="E14" s="7" t="s">
        <v>52</v>
      </c>
      <c r="F14" s="3">
        <v>50</v>
      </c>
      <c r="G14" s="7" t="str">
        <f t="shared" si="0"/>
        <v>C</v>
      </c>
      <c r="H14" s="3">
        <v>50</v>
      </c>
      <c r="I14" s="7" t="str">
        <f t="shared" si="1"/>
        <v>C</v>
      </c>
      <c r="J14" s="3">
        <v>50</v>
      </c>
      <c r="K14" s="7" t="str">
        <f t="shared" si="2"/>
        <v>C</v>
      </c>
      <c r="L14" s="1">
        <v>56</v>
      </c>
      <c r="M14" s="7" t="str">
        <f t="shared" si="3"/>
        <v>C+</v>
      </c>
      <c r="N14" s="1">
        <v>51</v>
      </c>
      <c r="O14" s="7" t="str">
        <f t="shared" si="4"/>
        <v>C</v>
      </c>
      <c r="P14" s="3">
        <v>52</v>
      </c>
      <c r="Q14" s="10" t="str">
        <f t="shared" si="5"/>
        <v>C</v>
      </c>
      <c r="R14" s="1">
        <v>63</v>
      </c>
      <c r="S14" s="10" t="str">
        <f t="shared" si="6"/>
        <v>B-</v>
      </c>
      <c r="T14" s="1">
        <v>61</v>
      </c>
      <c r="U14" s="10" t="str">
        <f t="shared" si="7"/>
        <v>B-</v>
      </c>
      <c r="V14" s="1">
        <v>53</v>
      </c>
      <c r="W14" s="7" t="str">
        <f t="shared" si="8"/>
        <v>C</v>
      </c>
      <c r="X14" s="3">
        <v>65</v>
      </c>
      <c r="Y14" s="10" t="str">
        <f t="shared" si="9"/>
        <v>B</v>
      </c>
      <c r="Z14" s="1">
        <v>49</v>
      </c>
      <c r="AA14" s="10" t="str">
        <f t="shared" si="10"/>
        <v>C-</v>
      </c>
      <c r="AB14" s="1">
        <v>52</v>
      </c>
      <c r="AC14" s="10" t="str">
        <f t="shared" si="11"/>
        <v>C</v>
      </c>
      <c r="AD14" s="3">
        <f t="shared" si="12"/>
        <v>652</v>
      </c>
      <c r="AE14" s="11">
        <f t="shared" si="13"/>
        <v>54.333333333333336</v>
      </c>
      <c r="AF14" s="8" t="s">
        <v>189</v>
      </c>
      <c r="AG14" s="32"/>
      <c r="AH14" s="35"/>
    </row>
    <row r="15" spans="2:34" ht="48.75" customHeight="1" thickBot="1" x14ac:dyDescent="0.35">
      <c r="B15" s="20" t="s">
        <v>198</v>
      </c>
      <c r="C15" s="18" t="s">
        <v>177</v>
      </c>
      <c r="D15" s="2"/>
      <c r="E15" s="7" t="s">
        <v>54</v>
      </c>
      <c r="F15" s="3" t="s">
        <v>176</v>
      </c>
      <c r="G15" s="7"/>
      <c r="H15" s="3" t="s">
        <v>176</v>
      </c>
      <c r="I15" s="7"/>
      <c r="J15" s="3" t="s">
        <v>176</v>
      </c>
      <c r="K15" s="7"/>
      <c r="L15" s="3" t="s">
        <v>176</v>
      </c>
      <c r="M15" s="7"/>
      <c r="N15" s="3" t="s">
        <v>176</v>
      </c>
      <c r="O15" s="7"/>
      <c r="P15" s="3" t="s">
        <v>176</v>
      </c>
      <c r="Q15" s="10"/>
      <c r="R15" s="3" t="s">
        <v>176</v>
      </c>
      <c r="S15" s="10"/>
      <c r="T15" s="3" t="s">
        <v>176</v>
      </c>
      <c r="U15" s="10"/>
      <c r="V15" s="3" t="s">
        <v>176</v>
      </c>
      <c r="W15" s="7"/>
      <c r="X15" s="3" t="s">
        <v>176</v>
      </c>
      <c r="Y15" s="10"/>
      <c r="Z15" s="3" t="s">
        <v>176</v>
      </c>
      <c r="AA15" s="10"/>
      <c r="AB15" s="3" t="s">
        <v>176</v>
      </c>
      <c r="AC15" s="10"/>
      <c r="AD15" s="3"/>
      <c r="AE15" s="11">
        <f t="shared" si="13"/>
        <v>0</v>
      </c>
      <c r="AF15" s="8" t="s">
        <v>191</v>
      </c>
      <c r="AG15" s="32"/>
      <c r="AH15" s="35"/>
    </row>
    <row r="16" spans="2:34" ht="41.25" customHeight="1" thickBot="1" x14ac:dyDescent="0.35">
      <c r="B16" s="20" t="s">
        <v>199</v>
      </c>
      <c r="C16" s="18" t="s">
        <v>56</v>
      </c>
      <c r="D16" s="2">
        <v>197680900238</v>
      </c>
      <c r="E16" s="7" t="s">
        <v>55</v>
      </c>
      <c r="F16" s="5">
        <v>50</v>
      </c>
      <c r="G16" s="7" t="str">
        <f t="shared" si="0"/>
        <v>C</v>
      </c>
      <c r="H16" s="5">
        <v>50</v>
      </c>
      <c r="I16" s="7" t="str">
        <f t="shared" si="1"/>
        <v>C</v>
      </c>
      <c r="J16" s="5">
        <v>57</v>
      </c>
      <c r="K16" s="7" t="str">
        <f t="shared" si="2"/>
        <v>C+</v>
      </c>
      <c r="L16" s="5">
        <v>55</v>
      </c>
      <c r="M16" s="7" t="str">
        <f t="shared" si="3"/>
        <v>C+</v>
      </c>
      <c r="N16" s="5">
        <v>53</v>
      </c>
      <c r="O16" s="7" t="str">
        <f t="shared" si="4"/>
        <v>C</v>
      </c>
      <c r="P16" s="5">
        <v>54</v>
      </c>
      <c r="Q16" s="10" t="str">
        <f t="shared" si="5"/>
        <v>C</v>
      </c>
      <c r="R16" s="5">
        <v>54</v>
      </c>
      <c r="S16" s="10" t="str">
        <f t="shared" si="6"/>
        <v>C</v>
      </c>
      <c r="T16" s="5">
        <v>54</v>
      </c>
      <c r="U16" s="10" t="str">
        <f t="shared" si="7"/>
        <v>C</v>
      </c>
      <c r="V16" s="5">
        <v>50</v>
      </c>
      <c r="W16" s="7" t="str">
        <f t="shared" si="8"/>
        <v>C</v>
      </c>
      <c r="X16" s="5">
        <v>56</v>
      </c>
      <c r="Y16" s="10" t="str">
        <f t="shared" si="9"/>
        <v>C+</v>
      </c>
      <c r="Z16" s="5">
        <v>50</v>
      </c>
      <c r="AA16" s="10" t="str">
        <f t="shared" si="10"/>
        <v>C</v>
      </c>
      <c r="AB16" s="5">
        <v>43</v>
      </c>
      <c r="AC16" s="10" t="str">
        <f t="shared" si="11"/>
        <v>D+</v>
      </c>
      <c r="AD16" s="3">
        <f t="shared" si="12"/>
        <v>626</v>
      </c>
      <c r="AE16" s="11">
        <f t="shared" si="13"/>
        <v>52.166666666666664</v>
      </c>
      <c r="AF16" s="8" t="s">
        <v>189</v>
      </c>
      <c r="AG16" s="32"/>
      <c r="AH16" s="35"/>
    </row>
    <row r="17" spans="1:34" ht="48.75" customHeight="1" x14ac:dyDescent="0.3">
      <c r="A17" s="30"/>
      <c r="B17" s="29" t="s">
        <v>200</v>
      </c>
      <c r="C17" s="19" t="s">
        <v>58</v>
      </c>
      <c r="D17" s="17">
        <v>198051502850</v>
      </c>
      <c r="E17" s="7" t="s">
        <v>57</v>
      </c>
      <c r="F17" s="4">
        <v>61</v>
      </c>
      <c r="G17" s="7" t="str">
        <f t="shared" si="0"/>
        <v>B-</v>
      </c>
      <c r="H17" s="4">
        <v>56</v>
      </c>
      <c r="I17" s="7" t="str">
        <f t="shared" si="1"/>
        <v>C+</v>
      </c>
      <c r="J17" s="4">
        <v>68</v>
      </c>
      <c r="K17" s="7" t="str">
        <f t="shared" si="2"/>
        <v>B</v>
      </c>
      <c r="L17" s="4">
        <v>59</v>
      </c>
      <c r="M17" s="7" t="str">
        <f t="shared" si="3"/>
        <v>C+</v>
      </c>
      <c r="N17" s="4">
        <v>63</v>
      </c>
      <c r="O17" s="7" t="str">
        <f t="shared" si="4"/>
        <v>B-</v>
      </c>
      <c r="P17" s="4">
        <v>55</v>
      </c>
      <c r="Q17" s="10" t="str">
        <f t="shared" si="5"/>
        <v>C+</v>
      </c>
      <c r="R17" s="4">
        <v>83</v>
      </c>
      <c r="S17" s="10" t="str">
        <f t="shared" si="6"/>
        <v>A</v>
      </c>
      <c r="T17" s="4">
        <v>75</v>
      </c>
      <c r="U17" s="10" t="str">
        <f t="shared" si="7"/>
        <v>A-</v>
      </c>
      <c r="V17" s="4">
        <v>64</v>
      </c>
      <c r="W17" s="7" t="str">
        <f t="shared" si="8"/>
        <v>B-</v>
      </c>
      <c r="X17" s="4">
        <v>69</v>
      </c>
      <c r="Y17" s="10" t="str">
        <f t="shared" si="9"/>
        <v>B</v>
      </c>
      <c r="Z17" s="4">
        <v>71</v>
      </c>
      <c r="AA17" s="10" t="str">
        <f t="shared" si="10"/>
        <v>B+</v>
      </c>
      <c r="AB17" s="4">
        <v>59</v>
      </c>
      <c r="AC17" s="10" t="str">
        <f t="shared" si="11"/>
        <v>C+</v>
      </c>
      <c r="AD17" s="3">
        <f t="shared" si="12"/>
        <v>783</v>
      </c>
      <c r="AE17" s="11">
        <f t="shared" si="13"/>
        <v>65.25</v>
      </c>
      <c r="AF17" s="9" t="s">
        <v>190</v>
      </c>
      <c r="AG17" s="32"/>
      <c r="AH17" s="35"/>
    </row>
    <row r="18" spans="1:34" ht="34.5" customHeight="1" x14ac:dyDescent="0.3">
      <c r="A18" s="30"/>
      <c r="B18" s="5" t="s">
        <v>201</v>
      </c>
      <c r="C18" s="18" t="s">
        <v>60</v>
      </c>
      <c r="D18" s="2" t="s">
        <v>61</v>
      </c>
      <c r="E18" s="7" t="s">
        <v>59</v>
      </c>
      <c r="F18" s="3">
        <v>50</v>
      </c>
      <c r="G18" s="7" t="str">
        <f t="shared" si="0"/>
        <v>C</v>
      </c>
      <c r="H18" s="3">
        <v>52</v>
      </c>
      <c r="I18" s="7" t="str">
        <f t="shared" si="1"/>
        <v>C</v>
      </c>
      <c r="J18" s="3">
        <v>52</v>
      </c>
      <c r="K18" s="7" t="str">
        <f t="shared" si="2"/>
        <v>C</v>
      </c>
      <c r="L18" s="3">
        <v>52</v>
      </c>
      <c r="M18" s="7" t="str">
        <f t="shared" si="3"/>
        <v>C</v>
      </c>
      <c r="N18" s="3">
        <v>51</v>
      </c>
      <c r="O18" s="7" t="str">
        <f t="shared" si="4"/>
        <v>C</v>
      </c>
      <c r="P18" s="3">
        <v>50</v>
      </c>
      <c r="Q18" s="10" t="str">
        <f t="shared" si="5"/>
        <v>C</v>
      </c>
      <c r="R18" s="3">
        <v>55</v>
      </c>
      <c r="S18" s="10" t="str">
        <f t="shared" si="6"/>
        <v>C+</v>
      </c>
      <c r="T18" s="3">
        <v>58</v>
      </c>
      <c r="U18" s="10" t="str">
        <f t="shared" si="7"/>
        <v>C+</v>
      </c>
      <c r="V18" s="3">
        <v>57</v>
      </c>
      <c r="W18" s="7" t="str">
        <f t="shared" si="8"/>
        <v>C+</v>
      </c>
      <c r="X18" s="3">
        <v>63</v>
      </c>
      <c r="Y18" s="10" t="str">
        <f t="shared" si="9"/>
        <v>B-</v>
      </c>
      <c r="Z18" s="3">
        <v>51</v>
      </c>
      <c r="AA18" s="10" t="str">
        <f t="shared" si="10"/>
        <v>C</v>
      </c>
      <c r="AB18" s="3">
        <v>55</v>
      </c>
      <c r="AC18" s="10" t="str">
        <f t="shared" si="11"/>
        <v>C+</v>
      </c>
      <c r="AD18" s="3">
        <f t="shared" si="12"/>
        <v>646</v>
      </c>
      <c r="AE18" s="11">
        <f t="shared" si="13"/>
        <v>53.833333333333336</v>
      </c>
      <c r="AF18" s="8" t="s">
        <v>189</v>
      </c>
      <c r="AG18" s="32"/>
      <c r="AH18" s="35"/>
    </row>
    <row r="19" spans="1:34" ht="51" customHeight="1" x14ac:dyDescent="0.3">
      <c r="B19" s="5" t="s">
        <v>8</v>
      </c>
      <c r="C19" s="18" t="s">
        <v>62</v>
      </c>
      <c r="D19" s="2">
        <v>198058501880</v>
      </c>
      <c r="E19" s="7" t="s">
        <v>63</v>
      </c>
      <c r="F19" s="3">
        <v>53</v>
      </c>
      <c r="G19" s="7" t="str">
        <f>IF(F19="-", "Absent", IF(F19&gt;=85, "A+", IF(F19&gt;=80, "A", IF(F19&gt;=75, "A-", IF(F19&gt;=70, "B+",IF(F19&gt;=65, "B", IF(F19&gt;=60, "B-", IF(F19&gt;=55, "C+", IF(F19&gt;=50, "C", IF(F19&gt;=45, "C-", IF(F19&gt;=39, "D+", IF(F19&gt;=35, "D", IF(F19&gt;=0, "F" )))))))))))))</f>
        <v>C</v>
      </c>
      <c r="H19" s="3">
        <v>51</v>
      </c>
      <c r="I19" s="7" t="str">
        <f>IF(H19="-", "Absent", IF(H19&gt;=85, "A+", IF(H19&gt;=80, "A", IF(H19&gt;=75, "A-", IF(H19&gt;=70, "B+",IF(H19&gt;=65, "B", IF(H19&gt;=60, "B-", IF(H19&gt;=55, "C+", IF(H19&gt;=50, "C", IF(H19&gt;=45, "C-", IF(H19&gt;=39, "D+", IF(H19&gt;=35, "D", IF(H19&gt;=0, "F" )))))))))))))</f>
        <v>C</v>
      </c>
      <c r="J19" s="3">
        <v>57</v>
      </c>
      <c r="K19" s="7" t="str">
        <f>IF(J19="-", "Absent", IF(J19&gt;=85, "A+", IF(J19&gt;=80, "A", IF(J19&gt;=75, "A-", IF(J19&gt;=70, "B+",IF(J19&gt;=65, "B", IF(J19&gt;=60, "B-", IF(J19&gt;=55, "C+", IF(J19&gt;=50, "C", IF(J19&gt;=45, "C-", IF(J19&gt;=39, "D+", IF(J19&gt;=35, "D", IF(J19&gt;=0, "F" )))))))))))))</f>
        <v>C+</v>
      </c>
      <c r="L19" s="3">
        <v>54</v>
      </c>
      <c r="M19" s="7" t="str">
        <f>IF(L19="-", "Absent", IF(L19&gt;=85, "A+", IF(L19&gt;=80, "A", IF(L19&gt;=75, "A-", IF(L19&gt;=70, "B+",IF(L19&gt;=65, "B", IF(L19&gt;=60, "B-", IF(L19&gt;=55, "C+", IF(L19&gt;=50, "C", IF(L19&gt;=45, "C-", IF(L19&gt;=39, "D+", IF(L19&gt;=35, "D", IF(L19&gt;=0, "F" )))))))))))))</f>
        <v>C</v>
      </c>
      <c r="N19" s="3">
        <v>50</v>
      </c>
      <c r="O19" s="7" t="str">
        <f>IF(N19="-", "Absent", IF(N19&gt;=85, "A+", IF(N19&gt;=80, "A", IF(N19&gt;=75, "A-", IF(N19&gt;=70, "B+",IF(N19&gt;=65, "B", IF(N19&gt;=60, "B-", IF(N19&gt;=55, "C+", IF(N19&gt;=50, "C", IF(N19&gt;=45, "C-", IF(N19&gt;=39, "D+", IF(N19&gt;=35, "D", IF(N19&gt;=0, "F" )))))))))))))</f>
        <v>C</v>
      </c>
      <c r="P19" s="3">
        <v>53</v>
      </c>
      <c r="Q19" s="7" t="str">
        <f>IF(P19="-", "Absent", IF(P19&gt;=85, "A+", IF(P19&gt;=80, "A", IF(P19&gt;=75, "A-", IF(P19&gt;=70, "B+",IF(P19&gt;=65, "B", IF(P19&gt;=60, "B-", IF(P19&gt;=55, "C+", IF(P19&gt;=50, "C", IF(P19&gt;=45, "C-", IF(P19&gt;=39, "D+", IF(P19&gt;=35, "D", IF(P19&gt;=0, "F" )))))))))))))</f>
        <v>C</v>
      </c>
      <c r="R19" s="3">
        <v>56</v>
      </c>
      <c r="S19" s="7" t="str">
        <f>IF(R19="-", "Absent", IF(R19&gt;=85, "A+", IF(R19&gt;=80, "A", IF(R19&gt;=75, "A-", IF(R19&gt;=70, "B+",IF(R19&gt;=65, "B", IF(R19&gt;=60, "B-", IF(R19&gt;=55, "C+", IF(R19&gt;=50, "C", IF(R19&gt;=45, "C-", IF(R19&gt;=39, "D+", IF(R19&gt;=35, "D", IF(R19&gt;=0, "F" )))))))))))))</f>
        <v>C+</v>
      </c>
      <c r="T19" s="3">
        <v>58</v>
      </c>
      <c r="U19" s="7" t="str">
        <f>IF(T19="-", "Absent", IF(T19&gt;=85, "A+", IF(T19&gt;=80, "A", IF(T19&gt;=75, "A-", IF(T19&gt;=70, "B+",IF(T19&gt;=65, "B", IF(T19&gt;=60, "B-", IF(T19&gt;=55, "C+", IF(T19&gt;=50, "C", IF(T19&gt;=45, "C-", IF(T19&gt;=39, "D+", IF(T19&gt;=35, "D", IF(T19&gt;=0, "F" )))))))))))))</f>
        <v>C+</v>
      </c>
      <c r="V19" s="3">
        <v>57</v>
      </c>
      <c r="W19" s="7" t="str">
        <f>IF(V19="-", "Absent", IF(V19&gt;=85, "A+", IF(V19&gt;=80, "A", IF(V19&gt;=75, "A-", IF(V19&gt;=70, "B+",IF(V19&gt;=65, "B", IF(V19&gt;=60, "B-", IF(V19&gt;=55, "C+", IF(V19&gt;=50, "C", IF(V19&gt;=45, "C-", IF(V19&gt;=39, "D+", IF(V19&gt;=35, "D", IF(V19&gt;=0, "F" )))))))))))))</f>
        <v>C+</v>
      </c>
      <c r="X19" s="3">
        <v>50</v>
      </c>
      <c r="Y19" s="7" t="str">
        <f>IF(X19="-", "Absent", IF(X19&gt;=85, "A+", IF(X19&gt;=80, "A", IF(X19&gt;=75, "A-", IF(X19&gt;=70, "B+",IF(X19&gt;=65, "B", IF(X19&gt;=60, "B-", IF(X19&gt;=55, "C+", IF(X19&gt;=50, "C", IF(X19&gt;=45, "C-", IF(X19&gt;=39, "D+", IF(X19&gt;=35, "D", IF(X19&gt;=0, "F" )))))))))))))</f>
        <v>C</v>
      </c>
      <c r="Z19" s="3">
        <v>67</v>
      </c>
      <c r="AA19" s="7" t="str">
        <f>IF(Z19="-", "Absent", IF(Z19&gt;=85, "A+", IF(Z19&gt;=80, "A", IF(Z19&gt;=75, "A-", IF(Z19&gt;=70, "B+",IF(Z19&gt;=65, "B", IF(Z19&gt;=60, "B-", IF(Z19&gt;=55, "C+", IF(Z19&gt;=50, "C", IF(Z19&gt;=45, "C-", IF(Z19&gt;=39, "D+", IF(Z19&gt;=35, "D", IF(Z19&gt;=0, "F" )))))))))))))</f>
        <v>B</v>
      </c>
      <c r="AB19" s="3">
        <v>49</v>
      </c>
      <c r="AC19" s="7" t="str">
        <f>IF(AB19="-", "Absent", IF(AB19&gt;=85, "A+", IF(AB19&gt;=80, "A", IF(AB19&gt;=75, "A-", IF(AB19&gt;=70, "B+",IF(AB19&gt;=65, "B", IF(AB19&gt;=60, "B-", IF(AB19&gt;=55, "C+", IF(AB19&gt;=50, "C", IF(AB19&gt;=45, "C-", IF(AB19&gt;=39, "D+", IF(AB19&gt;=35, "D", IF(AB19&gt;=0, "F" )))))))))))))</f>
        <v>C-</v>
      </c>
      <c r="AD19" s="3">
        <f>SUM(F19:AC19)</f>
        <v>655</v>
      </c>
      <c r="AE19" s="11">
        <f>(AD19/12)</f>
        <v>54.583333333333336</v>
      </c>
      <c r="AF19" s="8" t="s">
        <v>189</v>
      </c>
      <c r="AG19" s="32"/>
      <c r="AH19" s="35"/>
    </row>
    <row r="20" spans="1:34" ht="34.5" customHeight="1" x14ac:dyDescent="0.3">
      <c r="B20" s="21" t="s">
        <v>9</v>
      </c>
      <c r="C20" s="18" t="s">
        <v>65</v>
      </c>
      <c r="D20" s="1" t="s">
        <v>66</v>
      </c>
      <c r="E20" s="7" t="s">
        <v>64</v>
      </c>
      <c r="F20" s="5">
        <v>63</v>
      </c>
      <c r="G20" s="7" t="str">
        <f t="shared" ref="G20:G30" si="14">IF(F20="-", "Absent", IF(F20&gt;=85, "A+", IF(F20&gt;=80, "A", IF(F20&gt;=75, "A-", IF(F20&gt;=70, "B+",IF(F20&gt;=65, "B", IF(F20&gt;=60, "B-", IF(F20&gt;=55, "C+", IF(F20&gt;=50, "C", IF(F20&gt;=45, "C-", IF(F20&gt;=39, "D+", IF(F20&gt;=35, "D", IF(F20&gt;=0, "F" )))))))))))))</f>
        <v>B-</v>
      </c>
      <c r="H20" s="5">
        <v>69</v>
      </c>
      <c r="I20" s="7" t="str">
        <f t="shared" ref="I20:I30" si="15">IF(H20="-", "Absent", IF(H20&gt;=85, "A+", IF(H20&gt;=80, "A", IF(H20&gt;=75, "A-", IF(H20&gt;=70, "B+",IF(H20&gt;=65, "B", IF(H20&gt;=60, "B-", IF(H20&gt;=55, "C+", IF(H20&gt;=50, "C", IF(H20&gt;=45, "C-", IF(H20&gt;=39, "D+", IF(H20&gt;=35, "D", IF(H20&gt;=0, "F" )))))))))))))</f>
        <v>B</v>
      </c>
      <c r="J20" s="5">
        <v>66</v>
      </c>
      <c r="K20" s="7" t="str">
        <f t="shared" ref="K20:K30" si="16">IF(J20="-", "Absent", IF(J20&gt;=85, "A+", IF(J20&gt;=80, "A", IF(J20&gt;=75, "A-", IF(J20&gt;=70, "B+",IF(J20&gt;=65, "B", IF(J20&gt;=60, "B-", IF(J20&gt;=55, "C+", IF(J20&gt;=50, "C", IF(J20&gt;=45, "C-", IF(J20&gt;=39, "D+", IF(J20&gt;=35, "D", IF(J20&gt;=0, "F" )))))))))))))</f>
        <v>B</v>
      </c>
      <c r="L20" s="5">
        <v>62</v>
      </c>
      <c r="M20" s="7" t="str">
        <f t="shared" ref="M20:M30" si="17">IF(L20="-", "Absent", IF(L20&gt;=85, "A+", IF(L20&gt;=80, "A", IF(L20&gt;=75, "A-", IF(L20&gt;=70, "B+",IF(L20&gt;=65, "B", IF(L20&gt;=60, "B-", IF(L20&gt;=55, "C+", IF(L20&gt;=50, "C", IF(L20&gt;=45, "C-", IF(L20&gt;=39, "D+", IF(L20&gt;=35, "D", IF(L20&gt;=0, "F" )))))))))))))</f>
        <v>B-</v>
      </c>
      <c r="N20" s="5">
        <v>67</v>
      </c>
      <c r="O20" s="7" t="str">
        <f t="shared" ref="O20:O30" si="18">IF(N20="-", "Absent", IF(N20&gt;=85, "A+", IF(N20&gt;=80, "A", IF(N20&gt;=75, "A-", IF(N20&gt;=70, "B+",IF(N20&gt;=65, "B", IF(N20&gt;=60, "B-", IF(N20&gt;=55, "C+", IF(N20&gt;=50, "C", IF(N20&gt;=45, "C-", IF(N20&gt;=39, "D+", IF(N20&gt;=35, "D", IF(N20&gt;=0, "F" )))))))))))))</f>
        <v>B</v>
      </c>
      <c r="P20" s="5">
        <v>67</v>
      </c>
      <c r="Q20" s="7" t="str">
        <f t="shared" ref="Q20:Q30" si="19">IF(P20="-", "Absent", IF(P20&gt;=85, "A+", IF(P20&gt;=80, "A", IF(P20&gt;=75, "A-", IF(P20&gt;=70, "B+",IF(P20&gt;=65, "B", IF(P20&gt;=60, "B-", IF(P20&gt;=55, "C+", IF(P20&gt;=50, "C", IF(P20&gt;=45, "C-", IF(P20&gt;=39, "D+", IF(P20&gt;=35, "D", IF(P20&gt;=0, "F" )))))))))))))</f>
        <v>B</v>
      </c>
      <c r="R20" s="5">
        <v>55</v>
      </c>
      <c r="S20" s="7" t="str">
        <f t="shared" ref="S20:S30" si="20">IF(R20="-", "Absent", IF(R20&gt;=85, "A+", IF(R20&gt;=80, "A", IF(R20&gt;=75, "A-", IF(R20&gt;=70, "B+",IF(R20&gt;=65, "B", IF(R20&gt;=60, "B-", IF(R20&gt;=55, "C+", IF(R20&gt;=50, "C", IF(R20&gt;=45, "C-", IF(R20&gt;=39, "D+", IF(R20&gt;=35, "D", IF(R20&gt;=0, "F" )))))))))))))</f>
        <v>C+</v>
      </c>
      <c r="T20" s="5">
        <v>66</v>
      </c>
      <c r="U20" s="7" t="str">
        <f t="shared" ref="U20:U30" si="21">IF(T20="-", "Absent", IF(T20&gt;=85, "A+", IF(T20&gt;=80, "A", IF(T20&gt;=75, "A-", IF(T20&gt;=70, "B+",IF(T20&gt;=65, "B", IF(T20&gt;=60, "B-", IF(T20&gt;=55, "C+", IF(T20&gt;=50, "C", IF(T20&gt;=45, "C-", IF(T20&gt;=39, "D+", IF(T20&gt;=35, "D", IF(T20&gt;=0, "F" )))))))))))))</f>
        <v>B</v>
      </c>
      <c r="V20" s="5">
        <v>72</v>
      </c>
      <c r="W20" s="7" t="str">
        <f t="shared" ref="W20:W30" si="22">IF(V20="-", "Absent", IF(V20&gt;=85, "A+", IF(V20&gt;=80, "A", IF(V20&gt;=75, "A-", IF(V20&gt;=70, "B+",IF(V20&gt;=65, "B", IF(V20&gt;=60, "B-", IF(V20&gt;=55, "C+", IF(V20&gt;=50, "C", IF(V20&gt;=45, "C-", IF(V20&gt;=39, "D+", IF(V20&gt;=35, "D", IF(V20&gt;=0, "F" )))))))))))))</f>
        <v>B+</v>
      </c>
      <c r="X20" s="5">
        <v>63</v>
      </c>
      <c r="Y20" s="7" t="str">
        <f t="shared" ref="Y20:Y30" si="23">IF(X20="-", "Absent", IF(X20&gt;=85, "A+", IF(X20&gt;=80, "A", IF(X20&gt;=75, "A-", IF(X20&gt;=70, "B+",IF(X20&gt;=65, "B", IF(X20&gt;=60, "B-", IF(X20&gt;=55, "C+", IF(X20&gt;=50, "C", IF(X20&gt;=45, "C-", IF(X20&gt;=39, "D+", IF(X20&gt;=35, "D", IF(X20&gt;=0, "F" )))))))))))))</f>
        <v>B-</v>
      </c>
      <c r="Z20" s="5">
        <v>64</v>
      </c>
      <c r="AA20" s="7" t="str">
        <f t="shared" ref="AA20:AA30" si="24">IF(Z20="-", "Absent", IF(Z20&gt;=85, "A+", IF(Z20&gt;=80, "A", IF(Z20&gt;=75, "A-", IF(Z20&gt;=70, "B+",IF(Z20&gt;=65, "B", IF(Z20&gt;=60, "B-", IF(Z20&gt;=55, "C+", IF(Z20&gt;=50, "C", IF(Z20&gt;=45, "C-", IF(Z20&gt;=39, "D+", IF(Z20&gt;=35, "D", IF(Z20&gt;=0, "F" )))))))))))))</f>
        <v>B-</v>
      </c>
      <c r="AB20" s="5">
        <v>59</v>
      </c>
      <c r="AC20" s="7" t="str">
        <f t="shared" ref="AC20:AC30" si="25">IF(AB20="-", "Absent", IF(AB20&gt;=85, "A+", IF(AB20&gt;=80, "A", IF(AB20&gt;=75, "A-", IF(AB20&gt;=70, "B+",IF(AB20&gt;=65, "B", IF(AB20&gt;=60, "B-", IF(AB20&gt;=55, "C+", IF(AB20&gt;=50, "C", IF(AB20&gt;=45, "C-", IF(AB20&gt;=39, "D+", IF(AB20&gt;=35, "D", IF(AB20&gt;=0, "F" )))))))))))))</f>
        <v>C+</v>
      </c>
      <c r="AD20" s="3">
        <f t="shared" ref="AD20:AD30" si="26">SUM(F20:AC20)</f>
        <v>773</v>
      </c>
      <c r="AE20" s="11">
        <f t="shared" ref="AE20:AE30" si="27">(AD20/12)</f>
        <v>64.416666666666671</v>
      </c>
      <c r="AF20" s="8" t="s">
        <v>189</v>
      </c>
      <c r="AG20" s="32"/>
      <c r="AH20" s="35"/>
    </row>
    <row r="21" spans="1:34" ht="40.5" customHeight="1" x14ac:dyDescent="0.3">
      <c r="B21" s="21" t="s">
        <v>10</v>
      </c>
      <c r="C21" s="18" t="s">
        <v>68</v>
      </c>
      <c r="D21" s="2">
        <v>198382701650</v>
      </c>
      <c r="E21" s="7" t="s">
        <v>67</v>
      </c>
      <c r="F21" s="3">
        <v>52</v>
      </c>
      <c r="G21" s="7" t="str">
        <f t="shared" si="14"/>
        <v>C</v>
      </c>
      <c r="H21" s="13">
        <v>50</v>
      </c>
      <c r="I21" s="7" t="str">
        <f t="shared" si="15"/>
        <v>C</v>
      </c>
      <c r="J21" s="13">
        <v>51</v>
      </c>
      <c r="K21" s="7" t="str">
        <f t="shared" si="16"/>
        <v>C</v>
      </c>
      <c r="L21" s="13">
        <v>50</v>
      </c>
      <c r="M21" s="7" t="str">
        <f t="shared" si="17"/>
        <v>C</v>
      </c>
      <c r="N21" s="13">
        <v>51</v>
      </c>
      <c r="O21" s="7" t="str">
        <f t="shared" si="18"/>
        <v>C</v>
      </c>
      <c r="P21" s="13">
        <v>53</v>
      </c>
      <c r="Q21" s="7" t="str">
        <f t="shared" si="19"/>
        <v>C</v>
      </c>
      <c r="R21" s="13">
        <v>51</v>
      </c>
      <c r="S21" s="7" t="str">
        <f t="shared" si="20"/>
        <v>C</v>
      </c>
      <c r="T21" s="13">
        <v>63</v>
      </c>
      <c r="U21" s="7" t="str">
        <f t="shared" si="21"/>
        <v>B-</v>
      </c>
      <c r="V21" s="13">
        <v>60</v>
      </c>
      <c r="W21" s="7" t="str">
        <f t="shared" si="22"/>
        <v>B-</v>
      </c>
      <c r="X21" s="13">
        <v>67</v>
      </c>
      <c r="Y21" s="7" t="str">
        <f t="shared" si="23"/>
        <v>B</v>
      </c>
      <c r="Z21" s="13">
        <v>66</v>
      </c>
      <c r="AA21" s="7" t="str">
        <f t="shared" si="24"/>
        <v>B</v>
      </c>
      <c r="AB21" s="13">
        <v>62</v>
      </c>
      <c r="AC21" s="7" t="str">
        <f t="shared" si="25"/>
        <v>B-</v>
      </c>
      <c r="AD21" s="3">
        <f t="shared" si="26"/>
        <v>676</v>
      </c>
      <c r="AE21" s="11">
        <f t="shared" si="27"/>
        <v>56.333333333333336</v>
      </c>
      <c r="AF21" s="8" t="s">
        <v>189</v>
      </c>
      <c r="AG21" s="32"/>
      <c r="AH21" s="35"/>
    </row>
    <row r="22" spans="1:34" ht="40.5" customHeight="1" x14ac:dyDescent="0.3">
      <c r="B22" s="21" t="s">
        <v>11</v>
      </c>
      <c r="C22" s="18" t="s">
        <v>178</v>
      </c>
      <c r="D22" s="2">
        <v>198961402240</v>
      </c>
      <c r="E22" s="7" t="s">
        <v>69</v>
      </c>
      <c r="F22" s="3">
        <v>74</v>
      </c>
      <c r="G22" s="7" t="str">
        <f t="shared" si="14"/>
        <v>B+</v>
      </c>
      <c r="H22" s="13">
        <v>63</v>
      </c>
      <c r="I22" s="7" t="str">
        <f t="shared" si="15"/>
        <v>B-</v>
      </c>
      <c r="J22" s="13">
        <v>68</v>
      </c>
      <c r="K22" s="7" t="str">
        <f t="shared" si="16"/>
        <v>B</v>
      </c>
      <c r="L22" s="13">
        <v>80</v>
      </c>
      <c r="M22" s="7" t="str">
        <f t="shared" si="17"/>
        <v>A</v>
      </c>
      <c r="N22" s="13">
        <v>56</v>
      </c>
      <c r="O22" s="7" t="str">
        <f t="shared" si="18"/>
        <v>C+</v>
      </c>
      <c r="P22" s="13">
        <v>74</v>
      </c>
      <c r="Q22" s="7" t="str">
        <f t="shared" si="19"/>
        <v>B+</v>
      </c>
      <c r="R22" s="13" t="s">
        <v>176</v>
      </c>
      <c r="S22" s="15" t="s">
        <v>176</v>
      </c>
      <c r="T22" s="13" t="s">
        <v>176</v>
      </c>
      <c r="U22" s="15" t="s">
        <v>176</v>
      </c>
      <c r="V22" s="13" t="s">
        <v>176</v>
      </c>
      <c r="W22" s="15" t="s">
        <v>176</v>
      </c>
      <c r="X22" s="13" t="s">
        <v>176</v>
      </c>
      <c r="Y22" s="15" t="s">
        <v>176</v>
      </c>
      <c r="Z22" s="13" t="s">
        <v>176</v>
      </c>
      <c r="AA22" s="15" t="s">
        <v>176</v>
      </c>
      <c r="AB22" s="13" t="s">
        <v>176</v>
      </c>
      <c r="AC22" s="15" t="s">
        <v>176</v>
      </c>
      <c r="AD22" s="3">
        <f t="shared" si="26"/>
        <v>415</v>
      </c>
      <c r="AE22" s="11">
        <f t="shared" si="27"/>
        <v>34.583333333333336</v>
      </c>
      <c r="AF22" s="8" t="s">
        <v>192</v>
      </c>
      <c r="AG22" s="32"/>
      <c r="AH22" s="35"/>
    </row>
    <row r="23" spans="1:34" ht="48.75" customHeight="1" x14ac:dyDescent="0.3">
      <c r="B23" s="21" t="s">
        <v>12</v>
      </c>
      <c r="C23" s="18" t="s">
        <v>179</v>
      </c>
      <c r="D23" s="2">
        <v>200455210585</v>
      </c>
      <c r="E23" s="7" t="s">
        <v>174</v>
      </c>
      <c r="F23" s="3">
        <v>50</v>
      </c>
      <c r="G23" s="7" t="str">
        <f t="shared" si="14"/>
        <v>C</v>
      </c>
      <c r="H23" s="13">
        <v>50</v>
      </c>
      <c r="I23" s="7" t="str">
        <f t="shared" si="15"/>
        <v>C</v>
      </c>
      <c r="J23" s="13">
        <v>63</v>
      </c>
      <c r="K23" s="7" t="str">
        <f t="shared" si="16"/>
        <v>B-</v>
      </c>
      <c r="L23" s="13">
        <v>50</v>
      </c>
      <c r="M23" s="7" t="str">
        <f t="shared" si="17"/>
        <v>C</v>
      </c>
      <c r="N23" s="13">
        <v>50</v>
      </c>
      <c r="O23" s="7" t="str">
        <f t="shared" si="18"/>
        <v>C</v>
      </c>
      <c r="P23" s="13">
        <v>52</v>
      </c>
      <c r="Q23" s="7" t="str">
        <f t="shared" si="19"/>
        <v>C</v>
      </c>
      <c r="R23" s="13" t="s">
        <v>176</v>
      </c>
      <c r="S23" s="15" t="s">
        <v>176</v>
      </c>
      <c r="T23" s="13" t="s">
        <v>176</v>
      </c>
      <c r="U23" s="15" t="s">
        <v>176</v>
      </c>
      <c r="V23" s="13" t="s">
        <v>176</v>
      </c>
      <c r="W23" s="15" t="s">
        <v>176</v>
      </c>
      <c r="X23" s="13" t="s">
        <v>176</v>
      </c>
      <c r="Y23" s="15" t="s">
        <v>176</v>
      </c>
      <c r="Z23" s="13" t="s">
        <v>176</v>
      </c>
      <c r="AA23" s="15" t="s">
        <v>176</v>
      </c>
      <c r="AB23" s="13" t="s">
        <v>176</v>
      </c>
      <c r="AC23" s="15" t="s">
        <v>176</v>
      </c>
      <c r="AD23" s="3">
        <f t="shared" si="26"/>
        <v>315</v>
      </c>
      <c r="AE23" s="11">
        <f t="shared" si="27"/>
        <v>26.25</v>
      </c>
      <c r="AF23" s="8" t="s">
        <v>192</v>
      </c>
      <c r="AG23" s="32"/>
      <c r="AH23" s="35"/>
    </row>
    <row r="24" spans="1:34" ht="34.5" customHeight="1" x14ac:dyDescent="0.3">
      <c r="B24" s="21" t="s">
        <v>13</v>
      </c>
      <c r="C24" s="18" t="s">
        <v>71</v>
      </c>
      <c r="D24" s="1" t="s">
        <v>72</v>
      </c>
      <c r="E24" s="7" t="s">
        <v>70</v>
      </c>
      <c r="F24" s="3">
        <v>66</v>
      </c>
      <c r="G24" s="7" t="str">
        <f t="shared" si="14"/>
        <v>B</v>
      </c>
      <c r="H24" s="13">
        <v>75</v>
      </c>
      <c r="I24" s="7" t="str">
        <f t="shared" si="15"/>
        <v>A-</v>
      </c>
      <c r="J24" s="13">
        <v>72</v>
      </c>
      <c r="K24" s="7" t="str">
        <f t="shared" si="16"/>
        <v>B+</v>
      </c>
      <c r="L24" s="13">
        <v>70</v>
      </c>
      <c r="M24" s="7" t="str">
        <f t="shared" si="17"/>
        <v>B+</v>
      </c>
      <c r="N24" s="13">
        <v>73</v>
      </c>
      <c r="O24" s="7" t="str">
        <f t="shared" si="18"/>
        <v>B+</v>
      </c>
      <c r="P24" s="13">
        <v>79</v>
      </c>
      <c r="Q24" s="7" t="str">
        <f t="shared" si="19"/>
        <v>A-</v>
      </c>
      <c r="R24" s="13">
        <v>85</v>
      </c>
      <c r="S24" s="7" t="str">
        <f t="shared" si="20"/>
        <v>A+</v>
      </c>
      <c r="T24" s="13">
        <v>78</v>
      </c>
      <c r="U24" s="7" t="str">
        <f t="shared" si="21"/>
        <v>A-</v>
      </c>
      <c r="V24" s="13">
        <v>73</v>
      </c>
      <c r="W24" s="7" t="str">
        <f t="shared" si="22"/>
        <v>B+</v>
      </c>
      <c r="X24" s="13">
        <v>77</v>
      </c>
      <c r="Y24" s="7" t="str">
        <f t="shared" si="23"/>
        <v>A-</v>
      </c>
      <c r="Z24" s="13">
        <v>83</v>
      </c>
      <c r="AA24" s="7" t="str">
        <f t="shared" si="24"/>
        <v>A</v>
      </c>
      <c r="AB24" s="13">
        <v>80</v>
      </c>
      <c r="AC24" s="7" t="str">
        <f t="shared" si="25"/>
        <v>A</v>
      </c>
      <c r="AD24" s="3">
        <f t="shared" si="26"/>
        <v>911</v>
      </c>
      <c r="AE24" s="11">
        <f t="shared" si="27"/>
        <v>75.916666666666671</v>
      </c>
      <c r="AF24" s="8" t="s">
        <v>193</v>
      </c>
      <c r="AG24" s="32"/>
      <c r="AH24" s="35"/>
    </row>
    <row r="25" spans="1:34" ht="33.75" customHeight="1" x14ac:dyDescent="0.3">
      <c r="B25" s="21" t="s">
        <v>14</v>
      </c>
      <c r="C25" s="18" t="s">
        <v>74</v>
      </c>
      <c r="D25" s="2">
        <v>197550601263</v>
      </c>
      <c r="E25" s="7" t="s">
        <v>73</v>
      </c>
      <c r="F25" s="3">
        <v>65</v>
      </c>
      <c r="G25" s="7" t="str">
        <f t="shared" si="14"/>
        <v>B</v>
      </c>
      <c r="H25" s="16">
        <v>68</v>
      </c>
      <c r="I25" s="7" t="str">
        <f t="shared" si="15"/>
        <v>B</v>
      </c>
      <c r="J25" s="13">
        <v>74</v>
      </c>
      <c r="K25" s="7" t="str">
        <f t="shared" si="16"/>
        <v>B+</v>
      </c>
      <c r="L25" s="13">
        <v>66</v>
      </c>
      <c r="M25" s="7" t="str">
        <f t="shared" si="17"/>
        <v>B</v>
      </c>
      <c r="N25" s="13">
        <v>54</v>
      </c>
      <c r="O25" s="7" t="str">
        <f t="shared" si="18"/>
        <v>C</v>
      </c>
      <c r="P25" s="13">
        <v>56</v>
      </c>
      <c r="Q25" s="7" t="str">
        <f t="shared" si="19"/>
        <v>C+</v>
      </c>
      <c r="R25" s="13">
        <v>70</v>
      </c>
      <c r="S25" s="7" t="str">
        <f t="shared" si="20"/>
        <v>B+</v>
      </c>
      <c r="T25" s="13">
        <v>67</v>
      </c>
      <c r="U25" s="7" t="str">
        <f t="shared" si="21"/>
        <v>B</v>
      </c>
      <c r="V25" s="13">
        <v>56</v>
      </c>
      <c r="W25" s="7" t="str">
        <f t="shared" si="22"/>
        <v>C+</v>
      </c>
      <c r="X25" s="13">
        <v>65</v>
      </c>
      <c r="Y25" s="7" t="str">
        <f t="shared" si="23"/>
        <v>B</v>
      </c>
      <c r="Z25" s="13">
        <v>66</v>
      </c>
      <c r="AA25" s="7" t="str">
        <f t="shared" si="24"/>
        <v>B</v>
      </c>
      <c r="AB25" s="13">
        <v>61</v>
      </c>
      <c r="AC25" s="7" t="str">
        <f t="shared" si="25"/>
        <v>B-</v>
      </c>
      <c r="AD25" s="3">
        <f t="shared" si="26"/>
        <v>768</v>
      </c>
      <c r="AE25" s="11">
        <f t="shared" si="27"/>
        <v>64</v>
      </c>
      <c r="AF25" s="8" t="s">
        <v>189</v>
      </c>
      <c r="AG25" s="32"/>
      <c r="AH25" s="35"/>
    </row>
    <row r="26" spans="1:34" ht="33" customHeight="1" x14ac:dyDescent="0.3">
      <c r="B26" s="21" t="s">
        <v>15</v>
      </c>
      <c r="C26" s="18" t="s">
        <v>76</v>
      </c>
      <c r="D26" s="1" t="s">
        <v>77</v>
      </c>
      <c r="E26" s="7" t="s">
        <v>75</v>
      </c>
      <c r="F26" s="3">
        <v>62</v>
      </c>
      <c r="G26" s="7" t="str">
        <f t="shared" si="14"/>
        <v>B-</v>
      </c>
      <c r="H26" s="1">
        <v>60</v>
      </c>
      <c r="I26" s="7" t="str">
        <f t="shared" si="15"/>
        <v>B-</v>
      </c>
      <c r="J26" s="3">
        <v>63</v>
      </c>
      <c r="K26" s="7" t="str">
        <f t="shared" si="16"/>
        <v>B-</v>
      </c>
      <c r="L26" s="3">
        <v>52</v>
      </c>
      <c r="M26" s="7" t="str">
        <f t="shared" si="17"/>
        <v>C</v>
      </c>
      <c r="N26" s="3">
        <v>56</v>
      </c>
      <c r="O26" s="7" t="str">
        <f t="shared" si="18"/>
        <v>C+</v>
      </c>
      <c r="P26" s="3">
        <v>62</v>
      </c>
      <c r="Q26" s="7" t="str">
        <f t="shared" si="19"/>
        <v>B-</v>
      </c>
      <c r="R26" s="3">
        <v>55</v>
      </c>
      <c r="S26" s="7" t="str">
        <f t="shared" si="20"/>
        <v>C+</v>
      </c>
      <c r="T26" s="3">
        <v>54</v>
      </c>
      <c r="U26" s="7" t="str">
        <f t="shared" si="21"/>
        <v>C</v>
      </c>
      <c r="V26" s="3">
        <v>54</v>
      </c>
      <c r="W26" s="7" t="str">
        <f t="shared" si="22"/>
        <v>C</v>
      </c>
      <c r="X26" s="3">
        <v>70</v>
      </c>
      <c r="Y26" s="7" t="str">
        <f t="shared" si="23"/>
        <v>B+</v>
      </c>
      <c r="Z26" s="3">
        <v>58</v>
      </c>
      <c r="AA26" s="7" t="str">
        <f t="shared" si="24"/>
        <v>C+</v>
      </c>
      <c r="AB26" s="3">
        <v>63</v>
      </c>
      <c r="AC26" s="7" t="str">
        <f t="shared" si="25"/>
        <v>B-</v>
      </c>
      <c r="AD26" s="3">
        <f t="shared" si="26"/>
        <v>709</v>
      </c>
      <c r="AE26" s="11">
        <f t="shared" si="27"/>
        <v>59.083333333333336</v>
      </c>
      <c r="AF26" s="8" t="s">
        <v>189</v>
      </c>
      <c r="AG26" s="32"/>
      <c r="AH26" s="35"/>
    </row>
    <row r="27" spans="1:34" ht="36.75" customHeight="1" x14ac:dyDescent="0.3">
      <c r="B27" s="21" t="s">
        <v>16</v>
      </c>
      <c r="C27" s="18" t="s">
        <v>80</v>
      </c>
      <c r="D27" s="2">
        <v>198053403338</v>
      </c>
      <c r="E27" s="7" t="s">
        <v>79</v>
      </c>
      <c r="F27" s="3">
        <v>60</v>
      </c>
      <c r="G27" s="7" t="str">
        <f t="shared" si="14"/>
        <v>B-</v>
      </c>
      <c r="H27" s="3">
        <v>53</v>
      </c>
      <c r="I27" s="7" t="str">
        <f t="shared" si="15"/>
        <v>C</v>
      </c>
      <c r="J27" s="3">
        <v>59</v>
      </c>
      <c r="K27" s="7" t="str">
        <f t="shared" si="16"/>
        <v>C+</v>
      </c>
      <c r="L27" s="3">
        <v>65</v>
      </c>
      <c r="M27" s="7" t="str">
        <f t="shared" si="17"/>
        <v>B</v>
      </c>
      <c r="N27" s="3">
        <v>55</v>
      </c>
      <c r="O27" s="7" t="str">
        <f t="shared" si="18"/>
        <v>C+</v>
      </c>
      <c r="P27" s="3">
        <v>56</v>
      </c>
      <c r="Q27" s="7" t="str">
        <f t="shared" si="19"/>
        <v>C+</v>
      </c>
      <c r="R27" s="3">
        <v>62</v>
      </c>
      <c r="S27" s="7" t="str">
        <f t="shared" si="20"/>
        <v>B-</v>
      </c>
      <c r="T27" s="3">
        <v>76</v>
      </c>
      <c r="U27" s="7" t="str">
        <f t="shared" si="21"/>
        <v>A-</v>
      </c>
      <c r="V27" s="3">
        <v>65</v>
      </c>
      <c r="W27" s="7" t="str">
        <f t="shared" si="22"/>
        <v>B</v>
      </c>
      <c r="X27" s="3">
        <v>64</v>
      </c>
      <c r="Y27" s="7" t="str">
        <f t="shared" si="23"/>
        <v>B-</v>
      </c>
      <c r="Z27" s="3">
        <v>60</v>
      </c>
      <c r="AA27" s="7" t="str">
        <f t="shared" si="24"/>
        <v>B-</v>
      </c>
      <c r="AB27" s="3">
        <v>60</v>
      </c>
      <c r="AC27" s="7" t="str">
        <f t="shared" si="25"/>
        <v>B-</v>
      </c>
      <c r="AD27" s="3">
        <f t="shared" si="26"/>
        <v>735</v>
      </c>
      <c r="AE27" s="11">
        <f t="shared" si="27"/>
        <v>61.25</v>
      </c>
      <c r="AF27" s="8" t="s">
        <v>189</v>
      </c>
      <c r="AG27" s="32"/>
      <c r="AH27" s="35"/>
    </row>
    <row r="28" spans="1:34" ht="35.25" customHeight="1" x14ac:dyDescent="0.3">
      <c r="B28" s="21" t="s">
        <v>17</v>
      </c>
      <c r="C28" s="18" t="s">
        <v>82</v>
      </c>
      <c r="D28" s="2">
        <v>197559501390</v>
      </c>
      <c r="E28" s="7" t="s">
        <v>81</v>
      </c>
      <c r="F28" s="3">
        <v>59</v>
      </c>
      <c r="G28" s="7" t="str">
        <f t="shared" si="14"/>
        <v>C+</v>
      </c>
      <c r="H28" s="3">
        <v>60</v>
      </c>
      <c r="I28" s="7" t="str">
        <f t="shared" si="15"/>
        <v>B-</v>
      </c>
      <c r="J28" s="3">
        <v>66</v>
      </c>
      <c r="K28" s="7" t="str">
        <f t="shared" si="16"/>
        <v>B</v>
      </c>
      <c r="L28" s="3">
        <v>71</v>
      </c>
      <c r="M28" s="7" t="str">
        <f t="shared" si="17"/>
        <v>B+</v>
      </c>
      <c r="N28" s="3">
        <v>54</v>
      </c>
      <c r="O28" s="7" t="str">
        <f t="shared" si="18"/>
        <v>C</v>
      </c>
      <c r="P28" s="3">
        <v>64</v>
      </c>
      <c r="Q28" s="7" t="str">
        <f t="shared" si="19"/>
        <v>B-</v>
      </c>
      <c r="R28" s="3">
        <v>71</v>
      </c>
      <c r="S28" s="7" t="str">
        <f t="shared" si="20"/>
        <v>B+</v>
      </c>
      <c r="T28" s="3">
        <v>65</v>
      </c>
      <c r="U28" s="7" t="str">
        <f t="shared" si="21"/>
        <v>B</v>
      </c>
      <c r="V28" s="3">
        <v>71</v>
      </c>
      <c r="W28" s="7" t="str">
        <f t="shared" si="22"/>
        <v>B+</v>
      </c>
      <c r="X28" s="3">
        <v>65</v>
      </c>
      <c r="Y28" s="7" t="str">
        <f t="shared" si="23"/>
        <v>B</v>
      </c>
      <c r="Z28" s="3">
        <v>67</v>
      </c>
      <c r="AA28" s="7" t="str">
        <f t="shared" si="24"/>
        <v>B</v>
      </c>
      <c r="AB28" s="3">
        <v>67</v>
      </c>
      <c r="AC28" s="7" t="str">
        <f t="shared" si="25"/>
        <v>B</v>
      </c>
      <c r="AD28" s="3">
        <f t="shared" si="26"/>
        <v>780</v>
      </c>
      <c r="AE28" s="11">
        <f t="shared" si="27"/>
        <v>65</v>
      </c>
      <c r="AF28" s="8" t="s">
        <v>190</v>
      </c>
      <c r="AG28" s="32"/>
      <c r="AH28" s="35"/>
    </row>
    <row r="29" spans="1:34" ht="54.75" customHeight="1" x14ac:dyDescent="0.3">
      <c r="A29" s="30"/>
      <c r="B29" s="21" t="s">
        <v>90</v>
      </c>
      <c r="C29" s="18" t="s">
        <v>85</v>
      </c>
      <c r="D29" s="1" t="s">
        <v>86</v>
      </c>
      <c r="E29" s="7" t="s">
        <v>84</v>
      </c>
      <c r="F29" s="3">
        <v>50</v>
      </c>
      <c r="G29" s="7" t="str">
        <f t="shared" si="14"/>
        <v>C</v>
      </c>
      <c r="H29" s="3">
        <v>50</v>
      </c>
      <c r="I29" s="7" t="str">
        <f t="shared" si="15"/>
        <v>C</v>
      </c>
      <c r="J29" s="3">
        <v>50</v>
      </c>
      <c r="K29" s="7" t="str">
        <f t="shared" si="16"/>
        <v>C</v>
      </c>
      <c r="L29" s="3">
        <v>62</v>
      </c>
      <c r="M29" s="7" t="str">
        <f t="shared" si="17"/>
        <v>B-</v>
      </c>
      <c r="N29" s="3">
        <v>50</v>
      </c>
      <c r="O29" s="7" t="str">
        <f t="shared" si="18"/>
        <v>C</v>
      </c>
      <c r="P29" s="3">
        <v>50</v>
      </c>
      <c r="Q29" s="7" t="str">
        <f t="shared" si="19"/>
        <v>C</v>
      </c>
      <c r="R29" s="3">
        <v>57</v>
      </c>
      <c r="S29" s="7" t="str">
        <f t="shared" si="20"/>
        <v>C+</v>
      </c>
      <c r="T29" s="3">
        <v>59</v>
      </c>
      <c r="U29" s="7" t="str">
        <f t="shared" si="21"/>
        <v>C+</v>
      </c>
      <c r="V29" s="3">
        <v>59</v>
      </c>
      <c r="W29" s="7" t="str">
        <f t="shared" si="22"/>
        <v>C+</v>
      </c>
      <c r="X29" s="3">
        <v>55</v>
      </c>
      <c r="Y29" s="7" t="str">
        <f t="shared" si="23"/>
        <v>C+</v>
      </c>
      <c r="Z29" s="3">
        <v>58</v>
      </c>
      <c r="AA29" s="7" t="str">
        <f t="shared" si="24"/>
        <v>C+</v>
      </c>
      <c r="AB29" s="3">
        <v>63</v>
      </c>
      <c r="AC29" s="7" t="str">
        <f t="shared" si="25"/>
        <v>B-</v>
      </c>
      <c r="AD29" s="3">
        <f t="shared" si="26"/>
        <v>663</v>
      </c>
      <c r="AE29" s="11">
        <f t="shared" si="27"/>
        <v>55.25</v>
      </c>
      <c r="AF29" s="8" t="s">
        <v>189</v>
      </c>
      <c r="AG29" s="32"/>
      <c r="AH29" s="35"/>
    </row>
    <row r="30" spans="1:34" ht="33.75" customHeight="1" x14ac:dyDescent="0.3">
      <c r="A30" s="30"/>
      <c r="B30" s="5" t="s">
        <v>91</v>
      </c>
      <c r="C30" s="18" t="s">
        <v>88</v>
      </c>
      <c r="D30" s="1" t="s">
        <v>89</v>
      </c>
      <c r="E30" s="7" t="s">
        <v>87</v>
      </c>
      <c r="F30" s="3">
        <v>64</v>
      </c>
      <c r="G30" s="7" t="str">
        <f t="shared" si="14"/>
        <v>B-</v>
      </c>
      <c r="H30" s="3">
        <v>45</v>
      </c>
      <c r="I30" s="7" t="str">
        <f t="shared" si="15"/>
        <v>C-</v>
      </c>
      <c r="J30" s="3">
        <v>67</v>
      </c>
      <c r="K30" s="7" t="str">
        <f t="shared" si="16"/>
        <v>B</v>
      </c>
      <c r="L30" s="3">
        <v>71</v>
      </c>
      <c r="M30" s="7" t="str">
        <f t="shared" si="17"/>
        <v>B+</v>
      </c>
      <c r="N30" s="3">
        <v>65</v>
      </c>
      <c r="O30" s="7" t="str">
        <f t="shared" si="18"/>
        <v>B</v>
      </c>
      <c r="P30" s="3">
        <v>61</v>
      </c>
      <c r="Q30" s="7" t="str">
        <f t="shared" si="19"/>
        <v>B-</v>
      </c>
      <c r="R30" s="3">
        <v>85</v>
      </c>
      <c r="S30" s="7" t="str">
        <f t="shared" si="20"/>
        <v>A+</v>
      </c>
      <c r="T30" s="3">
        <v>73</v>
      </c>
      <c r="U30" s="7" t="str">
        <f t="shared" si="21"/>
        <v>B+</v>
      </c>
      <c r="V30" s="3">
        <v>74</v>
      </c>
      <c r="W30" s="7" t="str">
        <f t="shared" si="22"/>
        <v>B+</v>
      </c>
      <c r="X30" s="3">
        <v>73</v>
      </c>
      <c r="Y30" s="7" t="str">
        <f t="shared" si="23"/>
        <v>B+</v>
      </c>
      <c r="Z30" s="3">
        <v>68</v>
      </c>
      <c r="AA30" s="7" t="str">
        <f t="shared" si="24"/>
        <v>B</v>
      </c>
      <c r="AB30" s="3">
        <v>69</v>
      </c>
      <c r="AC30" s="7" t="str">
        <f t="shared" si="25"/>
        <v>B</v>
      </c>
      <c r="AD30" s="3">
        <f t="shared" si="26"/>
        <v>815</v>
      </c>
      <c r="AE30" s="11">
        <f t="shared" si="27"/>
        <v>67.916666666666671</v>
      </c>
      <c r="AF30" s="8" t="s">
        <v>190</v>
      </c>
      <c r="AG30" s="32"/>
      <c r="AH30" s="35"/>
    </row>
    <row r="31" spans="1:34" ht="36" customHeight="1" x14ac:dyDescent="0.3">
      <c r="B31" s="5" t="s">
        <v>92</v>
      </c>
      <c r="C31" s="18" t="s">
        <v>119</v>
      </c>
      <c r="D31" s="2" t="s">
        <v>120</v>
      </c>
      <c r="E31" s="7" t="s">
        <v>118</v>
      </c>
      <c r="F31" s="3">
        <v>55</v>
      </c>
      <c r="G31" s="7" t="str">
        <f>IF(F31="-", "Absent", IF(F31&gt;=85, "A+", IF(F31&gt;=80, "A", IF(F31&gt;=75, "A-", IF(F31&gt;=70, "B+",IF(F31&gt;=65, "B", IF(F31&gt;=60, "B-", IF(F31&gt;=55, "C+", IF(F31&gt;=50, "C", IF(F31&gt;=45, "C-", IF(F31&gt;=39, "D+", IF(F31&gt;=35, "D", IF(F31&gt;=0, "F" )))))))))))))</f>
        <v>C+</v>
      </c>
      <c r="H31" s="3">
        <v>50</v>
      </c>
      <c r="I31" s="7" t="str">
        <f>IF(H31="-", "Absent", IF(H31&gt;=85, "A+", IF(H31&gt;=80, "A", IF(H31&gt;=75, "A-", IF(H31&gt;=70, "B+",IF(H31&gt;=65, "B", IF(H31&gt;=60, "B-", IF(H31&gt;=55, "C+", IF(H31&gt;=50, "C", IF(H31&gt;=45, "C-", IF(H31&gt;=39, "D+", IF(H31&gt;=35, "D", IF(H31&gt;=0, "F" )))))))))))))</f>
        <v>C</v>
      </c>
      <c r="J31" s="3">
        <v>52</v>
      </c>
      <c r="K31" s="7" t="str">
        <f>IF(J31="-", "Absent", IF(J31&gt;=85, "A+", IF(J31&gt;=80, "A", IF(J31&gt;=75, "A-", IF(J31&gt;=70, "B+",IF(J31&gt;=65, "B", IF(J31&gt;=60, "B-", IF(J31&gt;=55, "C+", IF(J31&gt;=50, "C", IF(J31&gt;=45, "C-", IF(J31&gt;=39, "D+", IF(J31&gt;=35, "D", IF(J31&gt;=0, "F" )))))))))))))</f>
        <v>C</v>
      </c>
      <c r="L31" s="3">
        <v>55</v>
      </c>
      <c r="M31" s="7" t="str">
        <f>IF(L31="-", "Absent", IF(L31&gt;=85, "A+", IF(L31&gt;=80, "A", IF(L31&gt;=75, "A-", IF(L31&gt;=70, "B+",IF(L31&gt;=65, "B", IF(L31&gt;=60, "B-", IF(L31&gt;=55, "C+", IF(L31&gt;=50, "C", IF(L31&gt;=45, "C-", IF(L31&gt;=39, "D+", IF(L31&gt;=35, "D", IF(L31&gt;=0, "F" )))))))))))))</f>
        <v>C+</v>
      </c>
      <c r="N31" s="3">
        <v>54</v>
      </c>
      <c r="O31" s="7" t="str">
        <f>IF(N31="-", "Absent", IF(N31&gt;=85, "A+", IF(N31&gt;=80, "A", IF(N31&gt;=75, "A-", IF(N31&gt;=70, "B+",IF(N31&gt;=65, "B", IF(N31&gt;=60, "B-", IF(N31&gt;=55, "C+", IF(N31&gt;=50, "C", IF(N31&gt;=45, "C-", IF(N31&gt;=39, "D+", IF(N31&gt;=35, "D", IF(N31&gt;=0, "F" )))))))))))))</f>
        <v>C</v>
      </c>
      <c r="P31" s="3">
        <v>51</v>
      </c>
      <c r="Q31" s="7" t="str">
        <f>IF(P31="-", "Absent", IF(P31&gt;=85, "A+", IF(P31&gt;=80, "A", IF(P31&gt;=75, "A-", IF(P31&gt;=70, "B+",IF(P31&gt;=65, "B", IF(P31&gt;=60, "B-", IF(P31&gt;=55, "C+", IF(P31&gt;=50, "C", IF(P31&gt;=45, "C-", IF(P31&gt;=39, "D+", IF(P31&gt;=35, "D", IF(P31&gt;=0, "F" )))))))))))))</f>
        <v>C</v>
      </c>
      <c r="R31" s="3">
        <v>74</v>
      </c>
      <c r="S31" s="7" t="str">
        <f>IF(R31="-", "Absent", IF(R31&gt;=85, "A+", IF(R31&gt;=80, "A", IF(R31&gt;=75, "A-", IF(R31&gt;=70, "B+",IF(R31&gt;=65, "B", IF(R31&gt;=60, "B-", IF(R31&gt;=55, "C+", IF(R31&gt;=50, "C", IF(R31&gt;=45, "C-", IF(R31&gt;=39, "D+", IF(R31&gt;=35, "D", IF(R31&gt;=0, "F" )))))))))))))</f>
        <v>B+</v>
      </c>
      <c r="T31" s="3">
        <v>64</v>
      </c>
      <c r="U31" s="7" t="str">
        <f>IF(T31="-", "Absent", IF(T31&gt;=85, "A+", IF(T31&gt;=80, "A", IF(T31&gt;=75, "A-", IF(T31&gt;=70, "B+",IF(T31&gt;=65, "B", IF(T31&gt;=60, "B-", IF(T31&gt;=55, "C+", IF(T31&gt;=50, "C", IF(T31&gt;=45, "C-", IF(T31&gt;=39, "D+", IF(T31&gt;=35, "D", IF(T31&gt;=0, "F" )))))))))))))</f>
        <v>B-</v>
      </c>
      <c r="V31" s="3">
        <v>62</v>
      </c>
      <c r="W31" s="7" t="str">
        <f>IF(V31="-", "Absent", IF(V31&gt;=85, "A+", IF(V31&gt;=80, "A", IF(V31&gt;=75, "A-", IF(V31&gt;=70, "B+",IF(V31&gt;=65, "B", IF(V31&gt;=60, "B-", IF(V31&gt;=55, "C+", IF(V31&gt;=50, "C", IF(V31&gt;=45, "C-", IF(V31&gt;=39, "D+", IF(V31&gt;=35, "D", IF(V31&gt;=0, "F" )))))))))))))</f>
        <v>B-</v>
      </c>
      <c r="X31" s="3">
        <v>66</v>
      </c>
      <c r="Y31" s="7" t="str">
        <f>IF(X31="-", "Absent", IF(X31&gt;=85, "A+", IF(X31&gt;=80, "A", IF(X31&gt;=75, "A-", IF(X31&gt;=70, "B+",IF(X31&gt;=65, "B", IF(X31&gt;=60, "B-", IF(X31&gt;=55, "C+", IF(X31&gt;=50, "C", IF(X31&gt;=45, "C-", IF(X31&gt;=39, "D+", IF(X31&gt;=35, "D", IF(X31&gt;=0, "F" )))))))))))))</f>
        <v>B</v>
      </c>
      <c r="Z31" s="3">
        <v>69</v>
      </c>
      <c r="AA31" s="7" t="str">
        <f>IF(Z31="-", "Absent", IF(Z31&gt;=85, "A+", IF(Z31&gt;=80, "A", IF(Z31&gt;=75, "A-", IF(Z31&gt;=70, "B+",IF(Z31&gt;=65, "B", IF(Z31&gt;=60, "B-", IF(Z31&gt;=55, "C+", IF(Z31&gt;=50, "C", IF(Z31&gt;=45, "C-", IF(Z31&gt;=39, "D+", IF(Z31&gt;=35, "D", IF(Z31&gt;=0, "F" )))))))))))))</f>
        <v>B</v>
      </c>
      <c r="AB31" s="3">
        <v>51</v>
      </c>
      <c r="AC31" s="7" t="str">
        <f>IF(AB31="-", "Absent", IF(AB31&gt;=85, "A+", IF(AB31&gt;=80, "A", IF(AB31&gt;=75, "A-", IF(AB31&gt;=70, "B+",IF(AB31&gt;=65, "B", IF(AB31&gt;=60, "B-", IF(AB31&gt;=55, "C+", IF(AB31&gt;=50, "C", IF(AB31&gt;=45, "C-", IF(AB31&gt;=39, "D+", IF(AB31&gt;=35, "D", IF(AB31&gt;=0, "F" )))))))))))))</f>
        <v>C</v>
      </c>
      <c r="AD31" s="3">
        <f>SUM(F31:AC31)</f>
        <v>703</v>
      </c>
      <c r="AE31" s="11">
        <f>(AD31/12)</f>
        <v>58.583333333333336</v>
      </c>
      <c r="AF31" s="8" t="s">
        <v>189</v>
      </c>
      <c r="AG31" s="32"/>
      <c r="AH31" s="35"/>
    </row>
    <row r="32" spans="1:34" ht="47.25" customHeight="1" x14ac:dyDescent="0.3">
      <c r="B32" s="21" t="s">
        <v>93</v>
      </c>
      <c r="C32" s="18" t="s">
        <v>122</v>
      </c>
      <c r="D32" s="1" t="s">
        <v>123</v>
      </c>
      <c r="E32" s="7" t="s">
        <v>121</v>
      </c>
      <c r="F32" s="5">
        <v>62</v>
      </c>
      <c r="G32" s="7" t="str">
        <f t="shared" ref="G32:G42" si="28">IF(F32="-", "Absent", IF(F32&gt;=85, "A+", IF(F32&gt;=80, "A", IF(F32&gt;=75, "A-", IF(F32&gt;=70, "B+",IF(F32&gt;=65, "B", IF(F32&gt;=60, "B-", IF(F32&gt;=55, "C+", IF(F32&gt;=50, "C", IF(F32&gt;=45, "C-", IF(F32&gt;=39, "D+", IF(F32&gt;=35, "D", IF(F32&gt;=0, "F" )))))))))))))</f>
        <v>B-</v>
      </c>
      <c r="H32" s="5">
        <v>65</v>
      </c>
      <c r="I32" s="7" t="str">
        <f t="shared" ref="I32:I42" si="29">IF(H32="-", "Absent", IF(H32&gt;=85, "A+", IF(H32&gt;=80, "A", IF(H32&gt;=75, "A-", IF(H32&gt;=70, "B+",IF(H32&gt;=65, "B", IF(H32&gt;=60, "B-", IF(H32&gt;=55, "C+", IF(H32&gt;=50, "C", IF(H32&gt;=45, "C-", IF(H32&gt;=39, "D+", IF(H32&gt;=35, "D", IF(H32&gt;=0, "F" )))))))))))))</f>
        <v>B</v>
      </c>
      <c r="J32" s="5">
        <v>68</v>
      </c>
      <c r="K32" s="7" t="str">
        <f t="shared" ref="K32:K42" si="30">IF(J32="-", "Absent", IF(J32&gt;=85, "A+", IF(J32&gt;=80, "A", IF(J32&gt;=75, "A-", IF(J32&gt;=70, "B+",IF(J32&gt;=65, "B", IF(J32&gt;=60, "B-", IF(J32&gt;=55, "C+", IF(J32&gt;=50, "C", IF(J32&gt;=45, "C-", IF(J32&gt;=39, "D+", IF(J32&gt;=35, "D", IF(J32&gt;=0, "F" )))))))))))))</f>
        <v>B</v>
      </c>
      <c r="L32" s="5">
        <v>59</v>
      </c>
      <c r="M32" s="7" t="str">
        <f t="shared" ref="M32:M42" si="31">IF(L32="-", "Absent", IF(L32&gt;=85, "A+", IF(L32&gt;=80, "A", IF(L32&gt;=75, "A-", IF(L32&gt;=70, "B+",IF(L32&gt;=65, "B", IF(L32&gt;=60, "B-", IF(L32&gt;=55, "C+", IF(L32&gt;=50, "C", IF(L32&gt;=45, "C-", IF(L32&gt;=39, "D+", IF(L32&gt;=35, "D", IF(L32&gt;=0, "F" )))))))))))))</f>
        <v>C+</v>
      </c>
      <c r="N32" s="5">
        <v>60</v>
      </c>
      <c r="O32" s="7" t="str">
        <f t="shared" ref="O32:O42" si="32">IF(N32="-", "Absent", IF(N32&gt;=85, "A+", IF(N32&gt;=80, "A", IF(N32&gt;=75, "A-", IF(N32&gt;=70, "B+",IF(N32&gt;=65, "B", IF(N32&gt;=60, "B-", IF(N32&gt;=55, "C+", IF(N32&gt;=50, "C", IF(N32&gt;=45, "C-", IF(N32&gt;=39, "D+", IF(N32&gt;=35, "D", IF(N32&gt;=0, "F" )))))))))))))</f>
        <v>B-</v>
      </c>
      <c r="P32" s="5">
        <v>56</v>
      </c>
      <c r="Q32" s="7" t="str">
        <f t="shared" ref="Q32:Q42" si="33">IF(P32="-", "Absent", IF(P32&gt;=85, "A+", IF(P32&gt;=80, "A", IF(P32&gt;=75, "A-", IF(P32&gt;=70, "B+",IF(P32&gt;=65, "B", IF(P32&gt;=60, "B-", IF(P32&gt;=55, "C+", IF(P32&gt;=50, "C", IF(P32&gt;=45, "C-", IF(P32&gt;=39, "D+", IF(P32&gt;=35, "D", IF(P32&gt;=0, "F" )))))))))))))</f>
        <v>C+</v>
      </c>
      <c r="R32" s="5">
        <v>75</v>
      </c>
      <c r="S32" s="7" t="str">
        <f t="shared" ref="S32:S42" si="34">IF(R32="-", "Absent", IF(R32&gt;=85, "A+", IF(R32&gt;=80, "A", IF(R32&gt;=75, "A-", IF(R32&gt;=70, "B+",IF(R32&gt;=65, "B", IF(R32&gt;=60, "B-", IF(R32&gt;=55, "C+", IF(R32&gt;=50, "C", IF(R32&gt;=45, "C-", IF(R32&gt;=39, "D+", IF(R32&gt;=35, "D", IF(R32&gt;=0, "F" )))))))))))))</f>
        <v>A-</v>
      </c>
      <c r="T32" s="5">
        <v>67</v>
      </c>
      <c r="U32" s="7" t="str">
        <f t="shared" ref="U32:U42" si="35">IF(T32="-", "Absent", IF(T32&gt;=85, "A+", IF(T32&gt;=80, "A", IF(T32&gt;=75, "A-", IF(T32&gt;=70, "B+",IF(T32&gt;=65, "B", IF(T32&gt;=60, "B-", IF(T32&gt;=55, "C+", IF(T32&gt;=50, "C", IF(T32&gt;=45, "C-", IF(T32&gt;=39, "D+", IF(T32&gt;=35, "D", IF(T32&gt;=0, "F" )))))))))))))</f>
        <v>B</v>
      </c>
      <c r="V32" s="5">
        <v>68</v>
      </c>
      <c r="W32" s="7" t="str">
        <f t="shared" ref="W32:W42" si="36">IF(V32="-", "Absent", IF(V32&gt;=85, "A+", IF(V32&gt;=80, "A", IF(V32&gt;=75, "A-", IF(V32&gt;=70, "B+",IF(V32&gt;=65, "B", IF(V32&gt;=60, "B-", IF(V32&gt;=55, "C+", IF(V32&gt;=50, "C", IF(V32&gt;=45, "C-", IF(V32&gt;=39, "D+", IF(V32&gt;=35, "D", IF(V32&gt;=0, "F" )))))))))))))</f>
        <v>B</v>
      </c>
      <c r="X32" s="5">
        <v>73</v>
      </c>
      <c r="Y32" s="7" t="str">
        <f t="shared" ref="Y32:Y42" si="37">IF(X32="-", "Absent", IF(X32&gt;=85, "A+", IF(X32&gt;=80, "A", IF(X32&gt;=75, "A-", IF(X32&gt;=70, "B+",IF(X32&gt;=65, "B", IF(X32&gt;=60, "B-", IF(X32&gt;=55, "C+", IF(X32&gt;=50, "C", IF(X32&gt;=45, "C-", IF(X32&gt;=39, "D+", IF(X32&gt;=35, "D", IF(X32&gt;=0, "F" )))))))))))))</f>
        <v>B+</v>
      </c>
      <c r="Z32" s="5">
        <v>73</v>
      </c>
      <c r="AA32" s="7" t="str">
        <f t="shared" ref="AA32:AA42" si="38">IF(Z32="-", "Absent", IF(Z32&gt;=85, "A+", IF(Z32&gt;=80, "A", IF(Z32&gt;=75, "A-", IF(Z32&gt;=70, "B+",IF(Z32&gt;=65, "B", IF(Z32&gt;=60, "B-", IF(Z32&gt;=55, "C+", IF(Z32&gt;=50, "C", IF(Z32&gt;=45, "C-", IF(Z32&gt;=39, "D+", IF(Z32&gt;=35, "D", IF(Z32&gt;=0, "F" )))))))))))))</f>
        <v>B+</v>
      </c>
      <c r="AB32" s="5">
        <v>69</v>
      </c>
      <c r="AC32" s="7" t="str">
        <f t="shared" ref="AC32:AC42" si="39">IF(AB32="-", "Absent", IF(AB32&gt;=85, "A+", IF(AB32&gt;=80, "A", IF(AB32&gt;=75, "A-", IF(AB32&gt;=70, "B+",IF(AB32&gt;=65, "B", IF(AB32&gt;=60, "B-", IF(AB32&gt;=55, "C+", IF(AB32&gt;=50, "C", IF(AB32&gt;=45, "C-", IF(AB32&gt;=39, "D+", IF(AB32&gt;=35, "D", IF(AB32&gt;=0, "F" )))))))))))))</f>
        <v>B</v>
      </c>
      <c r="AD32" s="3">
        <f t="shared" ref="AD32:AD42" si="40">SUM(F32:AC32)</f>
        <v>795</v>
      </c>
      <c r="AE32" s="11">
        <f t="shared" ref="AE32:AE42" si="41">(AD32/12)</f>
        <v>66.25</v>
      </c>
      <c r="AF32" s="8" t="s">
        <v>190</v>
      </c>
      <c r="AG32" s="32"/>
      <c r="AH32" s="35"/>
    </row>
    <row r="33" spans="1:34" ht="35.25" customHeight="1" x14ac:dyDescent="0.3">
      <c r="B33" s="21" t="s">
        <v>94</v>
      </c>
      <c r="C33" s="18" t="s">
        <v>180</v>
      </c>
      <c r="D33" s="1" t="s">
        <v>181</v>
      </c>
      <c r="E33" s="7" t="s">
        <v>163</v>
      </c>
      <c r="F33" s="5">
        <v>22</v>
      </c>
      <c r="G33" s="7" t="str">
        <f t="shared" si="28"/>
        <v>F</v>
      </c>
      <c r="H33" s="5">
        <v>14</v>
      </c>
      <c r="I33" s="7" t="str">
        <f t="shared" si="29"/>
        <v>F</v>
      </c>
      <c r="J33" s="5">
        <v>28</v>
      </c>
      <c r="K33" s="7" t="str">
        <f t="shared" si="30"/>
        <v>F</v>
      </c>
      <c r="L33" s="5">
        <v>32</v>
      </c>
      <c r="M33" s="7" t="str">
        <f t="shared" si="31"/>
        <v>F</v>
      </c>
      <c r="N33" s="5">
        <v>21</v>
      </c>
      <c r="O33" s="7" t="str">
        <f t="shared" si="32"/>
        <v>F</v>
      </c>
      <c r="P33" s="5">
        <v>25</v>
      </c>
      <c r="Q33" s="7" t="str">
        <f t="shared" si="33"/>
        <v>F</v>
      </c>
      <c r="R33" s="5" t="s">
        <v>176</v>
      </c>
      <c r="S33" s="12" t="s">
        <v>176</v>
      </c>
      <c r="T33" s="5" t="s">
        <v>176</v>
      </c>
      <c r="U33" s="12" t="s">
        <v>176</v>
      </c>
      <c r="V33" s="5" t="s">
        <v>176</v>
      </c>
      <c r="W33" s="12" t="s">
        <v>176</v>
      </c>
      <c r="X33" s="5" t="s">
        <v>176</v>
      </c>
      <c r="Y33" s="12" t="s">
        <v>176</v>
      </c>
      <c r="Z33" s="5" t="s">
        <v>176</v>
      </c>
      <c r="AA33" s="12" t="s">
        <v>176</v>
      </c>
      <c r="AB33" s="5" t="s">
        <v>176</v>
      </c>
      <c r="AC33" s="12" t="s">
        <v>176</v>
      </c>
      <c r="AD33" s="3">
        <f t="shared" si="40"/>
        <v>142</v>
      </c>
      <c r="AE33" s="11">
        <f t="shared" si="41"/>
        <v>11.833333333333334</v>
      </c>
      <c r="AF33" s="8" t="s">
        <v>192</v>
      </c>
      <c r="AG33" s="32"/>
      <c r="AH33" s="35"/>
    </row>
    <row r="34" spans="1:34" ht="50.25" customHeight="1" x14ac:dyDescent="0.3">
      <c r="B34" s="21" t="s">
        <v>95</v>
      </c>
      <c r="C34" s="18" t="s">
        <v>126</v>
      </c>
      <c r="D34" s="2" t="s">
        <v>127</v>
      </c>
      <c r="E34" s="7" t="s">
        <v>125</v>
      </c>
      <c r="F34" s="3">
        <v>60</v>
      </c>
      <c r="G34" s="7" t="str">
        <f t="shared" si="28"/>
        <v>B-</v>
      </c>
      <c r="H34" s="13">
        <v>59</v>
      </c>
      <c r="I34" s="7" t="str">
        <f t="shared" si="29"/>
        <v>C+</v>
      </c>
      <c r="J34" s="13">
        <v>68</v>
      </c>
      <c r="K34" s="7" t="str">
        <f t="shared" si="30"/>
        <v>B</v>
      </c>
      <c r="L34" s="13">
        <v>63</v>
      </c>
      <c r="M34" s="7" t="str">
        <f t="shared" si="31"/>
        <v>B-</v>
      </c>
      <c r="N34" s="13">
        <v>72</v>
      </c>
      <c r="O34" s="7" t="str">
        <f t="shared" si="32"/>
        <v>B+</v>
      </c>
      <c r="P34" s="13">
        <v>58</v>
      </c>
      <c r="Q34" s="7" t="str">
        <f t="shared" si="33"/>
        <v>C+</v>
      </c>
      <c r="R34" s="13">
        <v>77</v>
      </c>
      <c r="S34" s="7" t="str">
        <f t="shared" si="34"/>
        <v>A-</v>
      </c>
      <c r="T34" s="13">
        <v>73</v>
      </c>
      <c r="U34" s="7" t="str">
        <f t="shared" si="35"/>
        <v>B+</v>
      </c>
      <c r="V34" s="13">
        <v>77</v>
      </c>
      <c r="W34" s="7" t="str">
        <f t="shared" si="36"/>
        <v>A-</v>
      </c>
      <c r="X34" s="13">
        <v>82</v>
      </c>
      <c r="Y34" s="7" t="str">
        <f t="shared" si="37"/>
        <v>A</v>
      </c>
      <c r="Z34" s="13">
        <v>79</v>
      </c>
      <c r="AA34" s="7" t="str">
        <f t="shared" si="38"/>
        <v>A-</v>
      </c>
      <c r="AB34" s="13">
        <v>74</v>
      </c>
      <c r="AC34" s="7" t="str">
        <f t="shared" si="39"/>
        <v>B+</v>
      </c>
      <c r="AD34" s="3">
        <f t="shared" si="40"/>
        <v>842</v>
      </c>
      <c r="AE34" s="11">
        <f t="shared" si="41"/>
        <v>70.166666666666671</v>
      </c>
      <c r="AF34" s="8" t="s">
        <v>190</v>
      </c>
      <c r="AG34" s="32"/>
      <c r="AH34" s="35"/>
    </row>
    <row r="35" spans="1:34" ht="48.75" customHeight="1" x14ac:dyDescent="0.3">
      <c r="B35" s="21" t="s">
        <v>96</v>
      </c>
      <c r="C35" s="18" t="s">
        <v>182</v>
      </c>
      <c r="D35" s="2">
        <v>197881701523</v>
      </c>
      <c r="E35" s="7" t="s">
        <v>128</v>
      </c>
      <c r="F35" s="3">
        <v>51</v>
      </c>
      <c r="G35" s="7" t="str">
        <f t="shared" si="28"/>
        <v>C</v>
      </c>
      <c r="H35" s="13">
        <v>50</v>
      </c>
      <c r="I35" s="7" t="str">
        <f t="shared" si="29"/>
        <v>C</v>
      </c>
      <c r="J35" s="13">
        <v>58</v>
      </c>
      <c r="K35" s="7" t="str">
        <f t="shared" si="30"/>
        <v>C+</v>
      </c>
      <c r="L35" s="13">
        <v>51</v>
      </c>
      <c r="M35" s="7" t="str">
        <f t="shared" si="31"/>
        <v>C</v>
      </c>
      <c r="N35" s="13">
        <v>59</v>
      </c>
      <c r="O35" s="7" t="str">
        <f t="shared" si="32"/>
        <v>C+</v>
      </c>
      <c r="P35" s="13">
        <v>52</v>
      </c>
      <c r="Q35" s="7" t="str">
        <f t="shared" si="33"/>
        <v>C</v>
      </c>
      <c r="R35" s="13" t="s">
        <v>176</v>
      </c>
      <c r="S35" s="15" t="s">
        <v>176</v>
      </c>
      <c r="T35" s="13" t="s">
        <v>176</v>
      </c>
      <c r="U35" s="15" t="s">
        <v>176</v>
      </c>
      <c r="V35" s="13" t="s">
        <v>176</v>
      </c>
      <c r="W35" s="15" t="s">
        <v>176</v>
      </c>
      <c r="X35" s="13" t="s">
        <v>176</v>
      </c>
      <c r="Y35" s="15" t="s">
        <v>176</v>
      </c>
      <c r="Z35" s="13" t="s">
        <v>176</v>
      </c>
      <c r="AA35" s="15" t="s">
        <v>176</v>
      </c>
      <c r="AB35" s="13" t="s">
        <v>176</v>
      </c>
      <c r="AC35" s="15" t="s">
        <v>176</v>
      </c>
      <c r="AD35" s="3">
        <f t="shared" si="40"/>
        <v>321</v>
      </c>
      <c r="AE35" s="11">
        <f t="shared" si="41"/>
        <v>26.75</v>
      </c>
      <c r="AF35" s="8" t="s">
        <v>192</v>
      </c>
      <c r="AG35" s="32"/>
      <c r="AH35" s="35"/>
    </row>
    <row r="36" spans="1:34" ht="40.5" customHeight="1" x14ac:dyDescent="0.3">
      <c r="B36" s="21" t="s">
        <v>97</v>
      </c>
      <c r="C36" s="18" t="s">
        <v>183</v>
      </c>
      <c r="D36" s="2" t="s">
        <v>184</v>
      </c>
      <c r="E36" s="7" t="s">
        <v>170</v>
      </c>
      <c r="F36" s="3">
        <v>53</v>
      </c>
      <c r="G36" s="7" t="str">
        <f t="shared" si="28"/>
        <v>C</v>
      </c>
      <c r="H36" s="13">
        <v>50</v>
      </c>
      <c r="I36" s="7" t="str">
        <f t="shared" si="29"/>
        <v>C</v>
      </c>
      <c r="J36" s="13">
        <v>52</v>
      </c>
      <c r="K36" s="7" t="str">
        <f t="shared" si="30"/>
        <v>C</v>
      </c>
      <c r="L36" s="13">
        <v>49</v>
      </c>
      <c r="M36" s="7" t="str">
        <f t="shared" si="31"/>
        <v>C-</v>
      </c>
      <c r="N36" s="13">
        <v>43</v>
      </c>
      <c r="O36" s="7" t="str">
        <f t="shared" si="32"/>
        <v>D+</v>
      </c>
      <c r="P36" s="13">
        <v>51</v>
      </c>
      <c r="Q36" s="7" t="str">
        <f t="shared" si="33"/>
        <v>C</v>
      </c>
      <c r="R36" s="13" t="s">
        <v>176</v>
      </c>
      <c r="S36" s="15" t="s">
        <v>176</v>
      </c>
      <c r="T36" s="13" t="s">
        <v>176</v>
      </c>
      <c r="U36" s="15" t="s">
        <v>176</v>
      </c>
      <c r="V36" s="13" t="s">
        <v>176</v>
      </c>
      <c r="W36" s="15" t="s">
        <v>176</v>
      </c>
      <c r="X36" s="13" t="s">
        <v>176</v>
      </c>
      <c r="Y36" s="15" t="s">
        <v>176</v>
      </c>
      <c r="Z36" s="13" t="s">
        <v>176</v>
      </c>
      <c r="AA36" s="15" t="s">
        <v>176</v>
      </c>
      <c r="AB36" s="13" t="s">
        <v>176</v>
      </c>
      <c r="AC36" s="15" t="s">
        <v>176</v>
      </c>
      <c r="AD36" s="3">
        <f t="shared" si="40"/>
        <v>298</v>
      </c>
      <c r="AE36" s="11">
        <f t="shared" si="41"/>
        <v>24.833333333333332</v>
      </c>
      <c r="AF36" s="8" t="s">
        <v>192</v>
      </c>
      <c r="AG36" s="32"/>
      <c r="AH36" s="35"/>
    </row>
    <row r="37" spans="1:34" ht="37.5" customHeight="1" x14ac:dyDescent="0.3">
      <c r="B37" s="21" t="s">
        <v>98</v>
      </c>
      <c r="C37" s="18" t="s">
        <v>185</v>
      </c>
      <c r="D37" s="2">
        <v>197755003220</v>
      </c>
      <c r="E37" s="7" t="s">
        <v>175</v>
      </c>
      <c r="F37" s="3" t="s">
        <v>176</v>
      </c>
      <c r="G37" s="7" t="s">
        <v>176</v>
      </c>
      <c r="H37" s="3" t="s">
        <v>176</v>
      </c>
      <c r="I37" s="7" t="s">
        <v>176</v>
      </c>
      <c r="J37" s="3" t="s">
        <v>176</v>
      </c>
      <c r="K37" s="7" t="s">
        <v>176</v>
      </c>
      <c r="L37" s="3" t="s">
        <v>176</v>
      </c>
      <c r="M37" s="7" t="s">
        <v>176</v>
      </c>
      <c r="N37" s="3" t="s">
        <v>176</v>
      </c>
      <c r="O37" s="7" t="s">
        <v>176</v>
      </c>
      <c r="P37" s="3" t="s">
        <v>176</v>
      </c>
      <c r="Q37" s="7" t="s">
        <v>176</v>
      </c>
      <c r="R37" s="3" t="s">
        <v>176</v>
      </c>
      <c r="S37" s="7" t="s">
        <v>176</v>
      </c>
      <c r="T37" s="3" t="s">
        <v>176</v>
      </c>
      <c r="U37" s="7" t="s">
        <v>176</v>
      </c>
      <c r="V37" s="3" t="s">
        <v>176</v>
      </c>
      <c r="W37" s="7" t="s">
        <v>176</v>
      </c>
      <c r="X37" s="3" t="s">
        <v>176</v>
      </c>
      <c r="Y37" s="7" t="s">
        <v>176</v>
      </c>
      <c r="Z37" s="3" t="s">
        <v>176</v>
      </c>
      <c r="AA37" s="7" t="s">
        <v>176</v>
      </c>
      <c r="AB37" s="3" t="s">
        <v>176</v>
      </c>
      <c r="AC37" s="7" t="s">
        <v>176</v>
      </c>
      <c r="AD37" s="3">
        <f t="shared" si="40"/>
        <v>0</v>
      </c>
      <c r="AE37" s="11">
        <f t="shared" si="41"/>
        <v>0</v>
      </c>
      <c r="AF37" s="8" t="s">
        <v>191</v>
      </c>
      <c r="AG37" s="32"/>
      <c r="AH37" s="35"/>
    </row>
    <row r="38" spans="1:34" ht="37.5" customHeight="1" x14ac:dyDescent="0.3">
      <c r="B38" s="21" t="s">
        <v>99</v>
      </c>
      <c r="C38" s="18" t="s">
        <v>130</v>
      </c>
      <c r="D38" s="2">
        <v>198176602455</v>
      </c>
      <c r="E38" s="7" t="s">
        <v>129</v>
      </c>
      <c r="F38" s="3">
        <v>57</v>
      </c>
      <c r="G38" s="7" t="str">
        <f t="shared" si="28"/>
        <v>C+</v>
      </c>
      <c r="H38" s="13">
        <v>57</v>
      </c>
      <c r="I38" s="7" t="str">
        <f t="shared" si="29"/>
        <v>C+</v>
      </c>
      <c r="J38" s="13">
        <v>66</v>
      </c>
      <c r="K38" s="7" t="str">
        <f t="shared" si="30"/>
        <v>B</v>
      </c>
      <c r="L38" s="13">
        <v>67</v>
      </c>
      <c r="M38" s="7" t="str">
        <f t="shared" si="31"/>
        <v>B</v>
      </c>
      <c r="N38" s="13">
        <v>63</v>
      </c>
      <c r="O38" s="7" t="str">
        <f t="shared" si="32"/>
        <v>B-</v>
      </c>
      <c r="P38" s="13">
        <v>58</v>
      </c>
      <c r="Q38" s="7" t="str">
        <f t="shared" si="33"/>
        <v>C+</v>
      </c>
      <c r="R38" s="13">
        <v>76</v>
      </c>
      <c r="S38" s="7" t="str">
        <f t="shared" si="34"/>
        <v>A-</v>
      </c>
      <c r="T38" s="13">
        <v>70</v>
      </c>
      <c r="U38" s="7" t="str">
        <f t="shared" si="35"/>
        <v>B+</v>
      </c>
      <c r="V38" s="13">
        <v>70</v>
      </c>
      <c r="W38" s="7" t="str">
        <f t="shared" si="36"/>
        <v>B+</v>
      </c>
      <c r="X38" s="13">
        <v>68</v>
      </c>
      <c r="Y38" s="7" t="str">
        <f t="shared" si="37"/>
        <v>B</v>
      </c>
      <c r="Z38" s="13">
        <v>63</v>
      </c>
      <c r="AA38" s="7" t="str">
        <f t="shared" si="38"/>
        <v>B-</v>
      </c>
      <c r="AB38" s="13">
        <v>70</v>
      </c>
      <c r="AC38" s="7" t="str">
        <f t="shared" si="39"/>
        <v>B+</v>
      </c>
      <c r="AD38" s="3">
        <f t="shared" si="40"/>
        <v>785</v>
      </c>
      <c r="AE38" s="11">
        <f t="shared" si="41"/>
        <v>65.416666666666671</v>
      </c>
      <c r="AF38" s="8" t="s">
        <v>190</v>
      </c>
      <c r="AG38" s="32"/>
      <c r="AH38" s="35"/>
    </row>
    <row r="39" spans="1:34" ht="36.75" customHeight="1" x14ac:dyDescent="0.3">
      <c r="B39" s="21" t="s">
        <v>100</v>
      </c>
      <c r="C39" s="18" t="s">
        <v>132</v>
      </c>
      <c r="D39" s="2">
        <v>196875700588</v>
      </c>
      <c r="E39" s="7" t="s">
        <v>131</v>
      </c>
      <c r="F39" s="3">
        <v>71</v>
      </c>
      <c r="G39" s="7" t="str">
        <f t="shared" si="28"/>
        <v>B+</v>
      </c>
      <c r="H39" s="16">
        <v>59</v>
      </c>
      <c r="I39" s="7" t="str">
        <f t="shared" si="29"/>
        <v>C+</v>
      </c>
      <c r="J39" s="13">
        <v>63</v>
      </c>
      <c r="K39" s="7" t="str">
        <f t="shared" si="30"/>
        <v>B-</v>
      </c>
      <c r="L39" s="13">
        <v>59</v>
      </c>
      <c r="M39" s="7" t="str">
        <f t="shared" si="31"/>
        <v>C+</v>
      </c>
      <c r="N39" s="13">
        <v>50</v>
      </c>
      <c r="O39" s="7" t="str">
        <f t="shared" si="32"/>
        <v>C</v>
      </c>
      <c r="P39" s="13">
        <v>50</v>
      </c>
      <c r="Q39" s="7" t="str">
        <f t="shared" si="33"/>
        <v>C</v>
      </c>
      <c r="R39" s="13">
        <v>73</v>
      </c>
      <c r="S39" s="7" t="str">
        <f t="shared" si="34"/>
        <v>B+</v>
      </c>
      <c r="T39" s="13">
        <v>70</v>
      </c>
      <c r="U39" s="7" t="str">
        <f t="shared" si="35"/>
        <v>B+</v>
      </c>
      <c r="V39" s="13">
        <v>64</v>
      </c>
      <c r="W39" s="7" t="str">
        <f t="shared" si="36"/>
        <v>B-</v>
      </c>
      <c r="X39" s="13">
        <v>74</v>
      </c>
      <c r="Y39" s="7" t="str">
        <f t="shared" si="37"/>
        <v>B+</v>
      </c>
      <c r="Z39" s="13">
        <v>73</v>
      </c>
      <c r="AA39" s="7" t="str">
        <f t="shared" si="38"/>
        <v>B+</v>
      </c>
      <c r="AB39" s="13">
        <v>75</v>
      </c>
      <c r="AC39" s="7" t="str">
        <f t="shared" si="39"/>
        <v>A-</v>
      </c>
      <c r="AD39" s="3">
        <f t="shared" si="40"/>
        <v>781</v>
      </c>
      <c r="AE39" s="11">
        <f t="shared" si="41"/>
        <v>65.083333333333329</v>
      </c>
      <c r="AF39" s="8" t="s">
        <v>190</v>
      </c>
      <c r="AG39" s="32"/>
      <c r="AH39" s="35"/>
    </row>
    <row r="40" spans="1:34" ht="47.25" customHeight="1" x14ac:dyDescent="0.3">
      <c r="B40" s="21" t="s">
        <v>101</v>
      </c>
      <c r="C40" s="18" t="s">
        <v>134</v>
      </c>
      <c r="D40" s="2" t="s">
        <v>135</v>
      </c>
      <c r="E40" s="7" t="s">
        <v>133</v>
      </c>
      <c r="F40" s="3">
        <v>54</v>
      </c>
      <c r="G40" s="7" t="str">
        <f t="shared" si="28"/>
        <v>C</v>
      </c>
      <c r="H40" s="1">
        <v>60</v>
      </c>
      <c r="I40" s="7" t="str">
        <f t="shared" si="29"/>
        <v>B-</v>
      </c>
      <c r="J40" s="3">
        <v>55</v>
      </c>
      <c r="K40" s="7" t="str">
        <f t="shared" si="30"/>
        <v>C+</v>
      </c>
      <c r="L40" s="3">
        <v>57</v>
      </c>
      <c r="M40" s="7" t="str">
        <f t="shared" si="31"/>
        <v>C+</v>
      </c>
      <c r="N40" s="3">
        <v>58</v>
      </c>
      <c r="O40" s="7" t="str">
        <f t="shared" si="32"/>
        <v>C+</v>
      </c>
      <c r="P40" s="3">
        <v>63</v>
      </c>
      <c r="Q40" s="7" t="str">
        <f t="shared" si="33"/>
        <v>B-</v>
      </c>
      <c r="R40" s="3">
        <v>66</v>
      </c>
      <c r="S40" s="7" t="str">
        <f t="shared" si="34"/>
        <v>B</v>
      </c>
      <c r="T40" s="3">
        <v>64</v>
      </c>
      <c r="U40" s="7" t="str">
        <f t="shared" si="35"/>
        <v>B-</v>
      </c>
      <c r="V40" s="3">
        <v>69</v>
      </c>
      <c r="W40" s="7" t="str">
        <f t="shared" si="36"/>
        <v>B</v>
      </c>
      <c r="X40" s="3">
        <v>69</v>
      </c>
      <c r="Y40" s="7" t="str">
        <f t="shared" si="37"/>
        <v>B</v>
      </c>
      <c r="Z40" s="3">
        <v>66</v>
      </c>
      <c r="AA40" s="7" t="str">
        <f t="shared" si="38"/>
        <v>B</v>
      </c>
      <c r="AB40" s="3">
        <v>61</v>
      </c>
      <c r="AC40" s="7" t="str">
        <f t="shared" si="39"/>
        <v>B-</v>
      </c>
      <c r="AD40" s="3">
        <f t="shared" si="40"/>
        <v>742</v>
      </c>
      <c r="AE40" s="11">
        <f t="shared" si="41"/>
        <v>61.833333333333336</v>
      </c>
      <c r="AF40" s="8" t="s">
        <v>189</v>
      </c>
      <c r="AG40" s="32"/>
      <c r="AH40" s="35"/>
    </row>
    <row r="41" spans="1:34" ht="35.25" customHeight="1" x14ac:dyDescent="0.3">
      <c r="A41" s="30"/>
      <c r="B41" s="21" t="s">
        <v>102</v>
      </c>
      <c r="C41" s="18" t="s">
        <v>137</v>
      </c>
      <c r="D41" s="2" t="s">
        <v>138</v>
      </c>
      <c r="E41" s="7" t="s">
        <v>136</v>
      </c>
      <c r="F41" s="3">
        <v>56</v>
      </c>
      <c r="G41" s="7" t="str">
        <f t="shared" si="28"/>
        <v>C+</v>
      </c>
      <c r="H41" s="3">
        <v>57</v>
      </c>
      <c r="I41" s="7" t="str">
        <f t="shared" si="29"/>
        <v>C+</v>
      </c>
      <c r="J41" s="3">
        <v>76</v>
      </c>
      <c r="K41" s="7" t="str">
        <f t="shared" si="30"/>
        <v>A-</v>
      </c>
      <c r="L41" s="3">
        <v>59</v>
      </c>
      <c r="M41" s="7" t="str">
        <f t="shared" si="31"/>
        <v>C+</v>
      </c>
      <c r="N41" s="3">
        <v>54</v>
      </c>
      <c r="O41" s="7" t="str">
        <f t="shared" si="32"/>
        <v>C</v>
      </c>
      <c r="P41" s="3">
        <v>72</v>
      </c>
      <c r="Q41" s="7" t="str">
        <f t="shared" si="33"/>
        <v>B+</v>
      </c>
      <c r="R41" s="3">
        <v>73</v>
      </c>
      <c r="S41" s="7" t="str">
        <f t="shared" si="34"/>
        <v>B+</v>
      </c>
      <c r="T41" s="3">
        <v>77</v>
      </c>
      <c r="U41" s="7" t="str">
        <f t="shared" si="35"/>
        <v>A-</v>
      </c>
      <c r="V41" s="3">
        <v>65</v>
      </c>
      <c r="W41" s="7" t="str">
        <f t="shared" si="36"/>
        <v>B</v>
      </c>
      <c r="X41" s="3">
        <v>63</v>
      </c>
      <c r="Y41" s="7" t="str">
        <f t="shared" si="37"/>
        <v>B-</v>
      </c>
      <c r="Z41" s="3">
        <v>66</v>
      </c>
      <c r="AA41" s="7" t="str">
        <f t="shared" si="38"/>
        <v>B</v>
      </c>
      <c r="AB41" s="3">
        <v>69</v>
      </c>
      <c r="AC41" s="7" t="str">
        <f t="shared" si="39"/>
        <v>B</v>
      </c>
      <c r="AD41" s="3">
        <f t="shared" si="40"/>
        <v>787</v>
      </c>
      <c r="AE41" s="11">
        <f t="shared" si="41"/>
        <v>65.583333333333329</v>
      </c>
      <c r="AF41" s="8" t="s">
        <v>190</v>
      </c>
      <c r="AG41" s="32"/>
      <c r="AH41" s="35"/>
    </row>
    <row r="42" spans="1:34" ht="48" customHeight="1" x14ac:dyDescent="0.3">
      <c r="A42" s="30"/>
      <c r="B42" s="5" t="s">
        <v>103</v>
      </c>
      <c r="C42" s="18" t="s">
        <v>140</v>
      </c>
      <c r="D42" s="2" t="s">
        <v>141</v>
      </c>
      <c r="E42" s="7" t="s">
        <v>139</v>
      </c>
      <c r="F42" s="3">
        <v>65</v>
      </c>
      <c r="G42" s="7" t="str">
        <f t="shared" si="28"/>
        <v>B</v>
      </c>
      <c r="H42" s="3">
        <v>72</v>
      </c>
      <c r="I42" s="7" t="str">
        <f t="shared" si="29"/>
        <v>B+</v>
      </c>
      <c r="J42" s="3">
        <v>78</v>
      </c>
      <c r="K42" s="7" t="str">
        <f t="shared" si="30"/>
        <v>A-</v>
      </c>
      <c r="L42" s="3">
        <v>73</v>
      </c>
      <c r="M42" s="7" t="str">
        <f t="shared" si="31"/>
        <v>B+</v>
      </c>
      <c r="N42" s="3">
        <v>77</v>
      </c>
      <c r="O42" s="7" t="str">
        <f t="shared" si="32"/>
        <v>A-</v>
      </c>
      <c r="P42" s="3">
        <v>76</v>
      </c>
      <c r="Q42" s="7" t="str">
        <f t="shared" si="33"/>
        <v>A-</v>
      </c>
      <c r="R42" s="3">
        <v>81</v>
      </c>
      <c r="S42" s="7" t="str">
        <f t="shared" si="34"/>
        <v>A</v>
      </c>
      <c r="T42" s="3">
        <v>82</v>
      </c>
      <c r="U42" s="7" t="str">
        <f t="shared" si="35"/>
        <v>A</v>
      </c>
      <c r="V42" s="3">
        <v>83</v>
      </c>
      <c r="W42" s="7" t="str">
        <f t="shared" si="36"/>
        <v>A</v>
      </c>
      <c r="X42" s="3">
        <v>88</v>
      </c>
      <c r="Y42" s="7" t="str">
        <f t="shared" si="37"/>
        <v>A+</v>
      </c>
      <c r="Z42" s="3">
        <v>90</v>
      </c>
      <c r="AA42" s="7" t="str">
        <f t="shared" si="38"/>
        <v>A+</v>
      </c>
      <c r="AB42" s="3">
        <v>86</v>
      </c>
      <c r="AC42" s="7" t="str">
        <f t="shared" si="39"/>
        <v>A+</v>
      </c>
      <c r="AD42" s="3">
        <f t="shared" si="40"/>
        <v>951</v>
      </c>
      <c r="AE42" s="11">
        <f t="shared" si="41"/>
        <v>79.25</v>
      </c>
      <c r="AF42" s="8" t="s">
        <v>193</v>
      </c>
      <c r="AG42" s="32"/>
      <c r="AH42" s="35"/>
    </row>
    <row r="43" spans="1:34" ht="36.75" customHeight="1" x14ac:dyDescent="0.3">
      <c r="B43" s="5" t="s">
        <v>104</v>
      </c>
      <c r="C43" s="18" t="s">
        <v>186</v>
      </c>
      <c r="D43" s="2">
        <v>197275202751</v>
      </c>
      <c r="E43" s="7" t="s">
        <v>142</v>
      </c>
      <c r="F43" s="3" t="s">
        <v>176</v>
      </c>
      <c r="G43" s="7" t="s">
        <v>176</v>
      </c>
      <c r="H43" s="3" t="s">
        <v>176</v>
      </c>
      <c r="I43" s="7" t="s">
        <v>176</v>
      </c>
      <c r="J43" s="3" t="s">
        <v>176</v>
      </c>
      <c r="K43" s="7" t="s">
        <v>176</v>
      </c>
      <c r="L43" s="3" t="s">
        <v>176</v>
      </c>
      <c r="M43" s="7" t="s">
        <v>176</v>
      </c>
      <c r="N43" s="3" t="s">
        <v>176</v>
      </c>
      <c r="O43" s="7" t="s">
        <v>176</v>
      </c>
      <c r="P43" s="3" t="s">
        <v>176</v>
      </c>
      <c r="Q43" s="7" t="s">
        <v>176</v>
      </c>
      <c r="R43" s="3" t="s">
        <v>176</v>
      </c>
      <c r="S43" s="7" t="s">
        <v>176</v>
      </c>
      <c r="T43" s="3" t="s">
        <v>176</v>
      </c>
      <c r="U43" s="7" t="s">
        <v>176</v>
      </c>
      <c r="V43" s="3" t="s">
        <v>176</v>
      </c>
      <c r="W43" s="7" t="s">
        <v>176</v>
      </c>
      <c r="X43" s="3" t="s">
        <v>176</v>
      </c>
      <c r="Y43" s="7" t="s">
        <v>176</v>
      </c>
      <c r="Z43" s="3" t="s">
        <v>176</v>
      </c>
      <c r="AA43" s="7" t="s">
        <v>176</v>
      </c>
      <c r="AB43" s="3" t="s">
        <v>176</v>
      </c>
      <c r="AC43" s="7" t="s">
        <v>176</v>
      </c>
      <c r="AD43" s="3">
        <f>SUM(F43:AC43)</f>
        <v>0</v>
      </c>
      <c r="AE43" s="11">
        <f>(AD43/12)</f>
        <v>0</v>
      </c>
      <c r="AF43" s="8" t="s">
        <v>191</v>
      </c>
      <c r="AG43" s="33"/>
      <c r="AH43" s="35"/>
    </row>
    <row r="44" spans="1:34" ht="36.75" customHeight="1" x14ac:dyDescent="0.3">
      <c r="B44" s="21" t="s">
        <v>105</v>
      </c>
      <c r="C44" s="18" t="s">
        <v>143</v>
      </c>
      <c r="D44" s="2" t="s">
        <v>144</v>
      </c>
      <c r="E44" s="7" t="s">
        <v>40</v>
      </c>
      <c r="F44" s="3">
        <v>69</v>
      </c>
      <c r="G44" s="7" t="str">
        <f>IF(F44="-", "Absent", IF(F44&gt;=85, "A+", IF(F44&gt;=80, "A", IF(F44&gt;=75, "A-", IF(F44&gt;=70, "B+",IF(F44&gt;=65, "B", IF(F44&gt;=60, "B-", IF(F44&gt;=55, "C+", IF(F44&gt;=50, "C", IF(F44&gt;=45, "C-", IF(F44&gt;=39, "D+", IF(F44&gt;=35, "D", IF(F44&gt;=0, "F" )))))))))))))</f>
        <v>B</v>
      </c>
      <c r="H44" s="3">
        <v>60</v>
      </c>
      <c r="I44" s="7" t="str">
        <f>IF(H44="-", "Absent", IF(H44&gt;=85, "A+", IF(H44&gt;=80, "A", IF(H44&gt;=75, "A-", IF(H44&gt;=70, "B+",IF(H44&gt;=65, "B", IF(H44&gt;=60, "B-", IF(H44&gt;=55, "C+", IF(H44&gt;=50, "C", IF(H44&gt;=45, "C-", IF(H44&gt;=39, "D+", IF(H44&gt;=35, "D", IF(H44&gt;=0, "F" )))))))))))))</f>
        <v>B-</v>
      </c>
      <c r="J44" s="3">
        <v>68</v>
      </c>
      <c r="K44" s="7" t="str">
        <f>IF(J44="-", "Absent", IF(J44&gt;=85, "A+", IF(J44&gt;=80, "A", IF(J44&gt;=75, "A-", IF(J44&gt;=70, "B+",IF(J44&gt;=65, "B", IF(J44&gt;=60, "B-", IF(J44&gt;=55, "C+", IF(J44&gt;=50, "C", IF(J44&gt;=45, "C-", IF(J44&gt;=39, "D+", IF(J44&gt;=35, "D", IF(J44&gt;=0, "F" )))))))))))))</f>
        <v>B</v>
      </c>
      <c r="L44" s="3">
        <v>65</v>
      </c>
      <c r="M44" s="7" t="str">
        <f>IF(L44="-", "Absent", IF(L44&gt;=85, "A+", IF(L44&gt;=80, "A", IF(L44&gt;=75, "A-", IF(L44&gt;=70, "B+",IF(L44&gt;=65, "B", IF(L44&gt;=60, "B-", IF(L44&gt;=55, "C+", IF(L44&gt;=50, "C", IF(L44&gt;=45, "C-", IF(L44&gt;=39, "D+", IF(L44&gt;=35, "D", IF(L44&gt;=0, "F" )))))))))))))</f>
        <v>B</v>
      </c>
      <c r="N44" s="3">
        <v>58</v>
      </c>
      <c r="O44" s="7" t="str">
        <f>IF(N44="-", "Absent", IF(N44&gt;=85, "A+", IF(N44&gt;=80, "A", IF(N44&gt;=75, "A-", IF(N44&gt;=70, "B+",IF(N44&gt;=65, "B", IF(N44&gt;=60, "B-", IF(N44&gt;=55, "C+", IF(N44&gt;=50, "C", IF(N44&gt;=45, "C-", IF(N44&gt;=39, "D+", IF(N44&gt;=35, "D", IF(N44&gt;=0, "F" )))))))))))))</f>
        <v>C+</v>
      </c>
      <c r="P44" s="3">
        <v>69</v>
      </c>
      <c r="Q44" s="7" t="str">
        <f>IF(P44="-", "Absent", IF(P44&gt;=85, "A+", IF(P44&gt;=80, "A", IF(P44&gt;=75, "A-", IF(P44&gt;=70, "B+",IF(P44&gt;=65, "B", IF(P44&gt;=60, "B-", IF(P44&gt;=55, "C+", IF(P44&gt;=50, "C", IF(P44&gt;=45, "C-", IF(P44&gt;=39, "D+", IF(P44&gt;=35, "D", IF(P44&gt;=0, "F" )))))))))))))</f>
        <v>B</v>
      </c>
      <c r="R44" s="3">
        <v>85</v>
      </c>
      <c r="S44" s="7" t="str">
        <f>IF(R44="-", "Absent", IF(R44&gt;=85, "A+", IF(R44&gt;=80, "A", IF(R44&gt;=75, "A-", IF(R44&gt;=70, "B+",IF(R44&gt;=65, "B", IF(R44&gt;=60, "B-", IF(R44&gt;=55, "C+", IF(R44&gt;=50, "C", IF(R44&gt;=45, "C-", IF(R44&gt;=39, "D+", IF(R44&gt;=35, "D", IF(R44&gt;=0, "F" )))))))))))))</f>
        <v>A+</v>
      </c>
      <c r="T44" s="3">
        <v>68</v>
      </c>
      <c r="U44" s="7" t="str">
        <f>IF(T44="-", "Absent", IF(T44&gt;=85, "A+", IF(T44&gt;=80, "A", IF(T44&gt;=75, "A-", IF(T44&gt;=70, "B+",IF(T44&gt;=65, "B", IF(T44&gt;=60, "B-", IF(T44&gt;=55, "C+", IF(T44&gt;=50, "C", IF(T44&gt;=45, "C-", IF(T44&gt;=39, "D+", IF(T44&gt;=35, "D", IF(T44&gt;=0, "F" )))))))))))))</f>
        <v>B</v>
      </c>
      <c r="V44" s="3">
        <v>82</v>
      </c>
      <c r="W44" s="7" t="str">
        <f>IF(V44="-", "Absent", IF(V44&gt;=85, "A+", IF(V44&gt;=80, "A", IF(V44&gt;=75, "A-", IF(V44&gt;=70, "B+",IF(V44&gt;=65, "B", IF(V44&gt;=60, "B-", IF(V44&gt;=55, "C+", IF(V44&gt;=50, "C", IF(V44&gt;=45, "C-", IF(V44&gt;=39, "D+", IF(V44&gt;=35, "D", IF(V44&gt;=0, "F" )))))))))))))</f>
        <v>A</v>
      </c>
      <c r="X44" s="3">
        <v>85</v>
      </c>
      <c r="Y44" s="7" t="str">
        <f>IF(X44="-", "Absent", IF(X44&gt;=85, "A+", IF(X44&gt;=80, "A", IF(X44&gt;=75, "A-", IF(X44&gt;=70, "B+",IF(X44&gt;=65, "B", IF(X44&gt;=60, "B-", IF(X44&gt;=55, "C+", IF(X44&gt;=50, "C", IF(X44&gt;=45, "C-", IF(X44&gt;=39, "D+", IF(X44&gt;=35, "D", IF(X44&gt;=0, "F" )))))))))))))</f>
        <v>A+</v>
      </c>
      <c r="Z44" s="3">
        <v>72</v>
      </c>
      <c r="AA44" s="7" t="str">
        <f>IF(Z44="-", "Absent", IF(Z44&gt;=85, "A+", IF(Z44&gt;=80, "A", IF(Z44&gt;=75, "A-", IF(Z44&gt;=70, "B+",IF(Z44&gt;=65, "B", IF(Z44&gt;=60, "B-", IF(Z44&gt;=55, "C+", IF(Z44&gt;=50, "C", IF(Z44&gt;=45, "C-", IF(Z44&gt;=39, "D+", IF(Z44&gt;=35, "D", IF(Z44&gt;=0, "F" )))))))))))))</f>
        <v>B+</v>
      </c>
      <c r="AB44" s="3">
        <v>62</v>
      </c>
      <c r="AC44" s="7" t="str">
        <f>IF(AB44="-", "Absent", IF(AB44&gt;=85, "A+", IF(AB44&gt;=80, "A", IF(AB44&gt;=75, "A-", IF(AB44&gt;=70, "B+",IF(AB44&gt;=65, "B", IF(AB44&gt;=60, "B-", IF(AB44&gt;=55, "C+", IF(AB44&gt;=50, "C", IF(AB44&gt;=45, "C-", IF(AB44&gt;=39, "D+", IF(AB44&gt;=35, "D", IF(AB44&gt;=0, "F" )))))))))))))</f>
        <v>B-</v>
      </c>
      <c r="AD44" s="3">
        <f>SUM(F44:AC44)</f>
        <v>843</v>
      </c>
      <c r="AE44" s="11">
        <f>(AD44/12)</f>
        <v>70.25</v>
      </c>
      <c r="AF44" s="8" t="s">
        <v>190</v>
      </c>
      <c r="AG44" s="33"/>
      <c r="AH44" s="35"/>
    </row>
    <row r="45" spans="1:34" ht="35.25" customHeight="1" x14ac:dyDescent="0.3">
      <c r="B45" s="21" t="s">
        <v>106</v>
      </c>
      <c r="C45" s="18" t="s">
        <v>146</v>
      </c>
      <c r="D45" s="2" t="s">
        <v>147</v>
      </c>
      <c r="E45" s="7" t="s">
        <v>145</v>
      </c>
      <c r="F45" s="3">
        <v>63</v>
      </c>
      <c r="G45" s="7" t="str">
        <f>IF(F45="-", "Absent", IF(F45&gt;=85, "A+", IF(F45&gt;=80, "A", IF(F45&gt;=75, "A-", IF(F45&gt;=70, "B+",IF(F45&gt;=65, "B", IF(F45&gt;=60, "B-", IF(F45&gt;=55, "C+", IF(F45&gt;=50, "C", IF(F45&gt;=45, "C-", IF(F45&gt;=39, "D+", IF(F45&gt;=35, "D", IF(F45&gt;=0, "F" )))))))))))))</f>
        <v>B-</v>
      </c>
      <c r="H45" s="3">
        <v>67</v>
      </c>
      <c r="I45" s="7" t="str">
        <f>IF(H45="-", "Absent", IF(H45&gt;=85, "A+", IF(H45&gt;=80, "A", IF(H45&gt;=75, "A-", IF(H45&gt;=70, "B+",IF(H45&gt;=65, "B", IF(H45&gt;=60, "B-", IF(H45&gt;=55, "C+", IF(H45&gt;=50, "C", IF(H45&gt;=45, "C-", IF(H45&gt;=39, "D+", IF(H45&gt;=35, "D", IF(H45&gt;=0, "F" )))))))))))))</f>
        <v>B</v>
      </c>
      <c r="J45" s="3">
        <v>70</v>
      </c>
      <c r="K45" s="7" t="str">
        <f>IF(J45="-", "Absent", IF(J45&gt;=85, "A+", IF(J45&gt;=80, "A", IF(J45&gt;=75, "A-", IF(J45&gt;=70, "B+",IF(J45&gt;=65, "B", IF(J45&gt;=60, "B-", IF(J45&gt;=55, "C+", IF(J45&gt;=50, "C", IF(J45&gt;=45, "C-", IF(J45&gt;=39, "D+", IF(J45&gt;=35, "D", IF(J45&gt;=0, "F" )))))))))))))</f>
        <v>B+</v>
      </c>
      <c r="L45" s="3">
        <v>69</v>
      </c>
      <c r="M45" s="7" t="str">
        <f>IF(L45="-", "Absent", IF(L45&gt;=85, "A+", IF(L45&gt;=80, "A", IF(L45&gt;=75, "A-", IF(L45&gt;=70, "B+",IF(L45&gt;=65, "B", IF(L45&gt;=60, "B-", IF(L45&gt;=55, "C+", IF(L45&gt;=50, "C", IF(L45&gt;=45, "C-", IF(L45&gt;=39, "D+", IF(L45&gt;=35, "D", IF(L45&gt;=0, "F" )))))))))))))</f>
        <v>B</v>
      </c>
      <c r="N45" s="3">
        <v>72</v>
      </c>
      <c r="O45" s="7" t="str">
        <f>IF(N45="-", "Absent", IF(N45&gt;=85, "A+", IF(N45&gt;=80, "A", IF(N45&gt;=75, "A-", IF(N45&gt;=70, "B+",IF(N45&gt;=65, "B", IF(N45&gt;=60, "B-", IF(N45&gt;=55, "C+", IF(N45&gt;=50, "C", IF(N45&gt;=45, "C-", IF(N45&gt;=39, "D+", IF(N45&gt;=35, "D", IF(N45&gt;=0, "F" )))))))))))))</f>
        <v>B+</v>
      </c>
      <c r="P45" s="3">
        <v>74</v>
      </c>
      <c r="Q45" s="7" t="str">
        <f>IF(P45="-", "Absent", IF(P45&gt;=85, "A+", IF(P45&gt;=80, "A", IF(P45&gt;=75, "A-", IF(P45&gt;=70, "B+",IF(P45&gt;=65, "B", IF(P45&gt;=60, "B-", IF(P45&gt;=55, "C+", IF(P45&gt;=50, "C", IF(P45&gt;=45, "C-", IF(P45&gt;=39, "D+", IF(P45&gt;=35, "D", IF(P45&gt;=0, "F" )))))))))))))</f>
        <v>B+</v>
      </c>
      <c r="R45" s="3">
        <v>77</v>
      </c>
      <c r="S45" s="7" t="str">
        <f>IF(R45="-", "Absent", IF(R45&gt;=85, "A+", IF(R45&gt;=80, "A", IF(R45&gt;=75, "A-", IF(R45&gt;=70, "B+",IF(R45&gt;=65, "B", IF(R45&gt;=60, "B-", IF(R45&gt;=55, "C+", IF(R45&gt;=50, "C", IF(R45&gt;=45, "C-", IF(R45&gt;=39, "D+", IF(R45&gt;=35, "D", IF(R45&gt;=0, "F" )))))))))))))</f>
        <v>A-</v>
      </c>
      <c r="T45" s="3">
        <v>68</v>
      </c>
      <c r="U45" s="7" t="str">
        <f>IF(T45="-", "Absent", IF(T45&gt;=85, "A+", IF(T45&gt;=80, "A", IF(T45&gt;=75, "A-", IF(T45&gt;=70, "B+",IF(T45&gt;=65, "B", IF(T45&gt;=60, "B-", IF(T45&gt;=55, "C+", IF(T45&gt;=50, "C", IF(T45&gt;=45, "C-", IF(T45&gt;=39, "D+", IF(T45&gt;=35, "D", IF(T45&gt;=0, "F" )))))))))))))</f>
        <v>B</v>
      </c>
      <c r="V45" s="3">
        <v>79</v>
      </c>
      <c r="W45" s="7" t="str">
        <f>IF(V45="-", "Absent", IF(V45&gt;=85, "A+", IF(V45&gt;=80, "A", IF(V45&gt;=75, "A-", IF(V45&gt;=70, "B+",IF(V45&gt;=65, "B", IF(V45&gt;=60, "B-", IF(V45&gt;=55, "C+", IF(V45&gt;=50, "C", IF(V45&gt;=45, "C-", IF(V45&gt;=39, "D+", IF(V45&gt;=35, "D", IF(V45&gt;=0, "F" )))))))))))))</f>
        <v>A-</v>
      </c>
      <c r="X45" s="3">
        <v>75</v>
      </c>
      <c r="Y45" s="7" t="str">
        <f>IF(X45="-", "Absent", IF(X45&gt;=85, "A+", IF(X45&gt;=80, "A", IF(X45&gt;=75, "A-", IF(X45&gt;=70, "B+",IF(X45&gt;=65, "B", IF(X45&gt;=60, "B-", IF(X45&gt;=55, "C+", IF(X45&gt;=50, "C", IF(X45&gt;=45, "C-", IF(X45&gt;=39, "D+", IF(X45&gt;=35, "D", IF(X45&gt;=0, "F" )))))))))))))</f>
        <v>A-</v>
      </c>
      <c r="Z45" s="3">
        <v>74</v>
      </c>
      <c r="AA45" s="7" t="str">
        <f>IF(Z45="-", "Absent", IF(Z45&gt;=85, "A+", IF(Z45&gt;=80, "A", IF(Z45&gt;=75, "A-", IF(Z45&gt;=70, "B+",IF(Z45&gt;=65, "B", IF(Z45&gt;=60, "B-", IF(Z45&gt;=55, "C+", IF(Z45&gt;=50, "C", IF(Z45&gt;=45, "C-", IF(Z45&gt;=39, "D+", IF(Z45&gt;=35, "D", IF(Z45&gt;=0, "F" )))))))))))))</f>
        <v>B+</v>
      </c>
      <c r="AB45" s="3">
        <v>59</v>
      </c>
      <c r="AC45" s="7" t="str">
        <f>IF(AB45="-", "Absent", IF(AB45&gt;=85, "A+", IF(AB45&gt;=80, "A", IF(AB45&gt;=75, "A-", IF(AB45&gt;=70, "B+",IF(AB45&gt;=65, "B", IF(AB45&gt;=60, "B-", IF(AB45&gt;=55, "C+", IF(AB45&gt;=50, "C", IF(AB45&gt;=45, "C-", IF(AB45&gt;=39, "D+", IF(AB45&gt;=35, "D", IF(AB45&gt;=0, "F" )))))))))))))</f>
        <v>C+</v>
      </c>
      <c r="AD45" s="3">
        <f>SUM(F45:AC45)</f>
        <v>847</v>
      </c>
      <c r="AE45" s="11">
        <f>(AD45/12)</f>
        <v>70.583333333333329</v>
      </c>
      <c r="AF45" s="8" t="s">
        <v>190</v>
      </c>
      <c r="AG45" s="33"/>
      <c r="AH45" s="35"/>
    </row>
    <row r="46" spans="1:34" ht="36" customHeight="1" x14ac:dyDescent="0.3">
      <c r="B46" s="21" t="s">
        <v>107</v>
      </c>
      <c r="C46" s="18" t="s">
        <v>148</v>
      </c>
      <c r="D46" s="2" t="s">
        <v>149</v>
      </c>
      <c r="E46" s="7" t="s">
        <v>78</v>
      </c>
      <c r="F46" s="3">
        <v>50</v>
      </c>
      <c r="G46" s="7" t="str">
        <f>IF(F46="-", "Absent", IF(F46&gt;=85, "A+", IF(F46&gt;=80, "A", IF(F46&gt;=75, "A-", IF(F46&gt;=70, "B+",IF(F46&gt;=65, "B", IF(F46&gt;=60, "B-", IF(F46&gt;=55, "C+", IF(F46&gt;=50, "C", IF(F46&gt;=45, "C-", IF(F46&gt;=39, "D+", IF(F46&gt;=35, "D", IF(F46&gt;=0, "F" )))))))))))))</f>
        <v>C</v>
      </c>
      <c r="H46" s="3">
        <v>38</v>
      </c>
      <c r="I46" s="7" t="str">
        <f>IF(H46="-", "Absent", IF(H46&gt;=85, "A+", IF(H46&gt;=80, "A", IF(H46&gt;=75, "A-", IF(H46&gt;=70, "B+",IF(H46&gt;=65, "B", IF(H46&gt;=60, "B-", IF(H46&gt;=55, "C+", IF(H46&gt;=50, "C", IF(H46&gt;=45, "C-", IF(H46&gt;=39, "D+", IF(H46&gt;=35, "D", IF(H46&gt;=0, "F" )))))))))))))</f>
        <v>D</v>
      </c>
      <c r="J46" s="3">
        <v>55</v>
      </c>
      <c r="K46" s="7" t="str">
        <f>IF(J46="-", "Absent", IF(J46&gt;=85, "A+", IF(J46&gt;=80, "A", IF(J46&gt;=75, "A-", IF(J46&gt;=70, "B+",IF(J46&gt;=65, "B", IF(J46&gt;=60, "B-", IF(J46&gt;=55, "C+", IF(J46&gt;=50, "C", IF(J46&gt;=45, "C-", IF(J46&gt;=39, "D+", IF(J46&gt;=35, "D", IF(J46&gt;=0, "F" )))))))))))))</f>
        <v>C+</v>
      </c>
      <c r="L46" s="3">
        <v>50</v>
      </c>
      <c r="M46" s="7" t="str">
        <f>IF(L46="-", "Absent", IF(L46&gt;=85, "A+", IF(L46&gt;=80, "A", IF(L46&gt;=75, "A-", IF(L46&gt;=70, "B+",IF(L46&gt;=65, "B", IF(L46&gt;=60, "B-", IF(L46&gt;=55, "C+", IF(L46&gt;=50, "C", IF(L46&gt;=45, "C-", IF(L46&gt;=39, "D+", IF(L46&gt;=35, "D", IF(L46&gt;=0, "F" )))))))))))))</f>
        <v>C</v>
      </c>
      <c r="N46" s="3">
        <v>50</v>
      </c>
      <c r="O46" s="7" t="str">
        <f>IF(N46="-", "Absent", IF(N46&gt;=85, "A+", IF(N46&gt;=80, "A", IF(N46&gt;=75, "A-", IF(N46&gt;=70, "B+",IF(N46&gt;=65, "B", IF(N46&gt;=60, "B-", IF(N46&gt;=55, "C+", IF(N46&gt;=50, "C", IF(N46&gt;=45, "C-", IF(N46&gt;=39, "D+", IF(N46&gt;=35, "D", IF(N46&gt;=0, "F" )))))))))))))</f>
        <v>C</v>
      </c>
      <c r="P46" s="3">
        <v>50</v>
      </c>
      <c r="Q46" s="7" t="str">
        <f>IF(P46="-", "Absent", IF(P46&gt;=85, "A+", IF(P46&gt;=80, "A", IF(P46&gt;=75, "A-", IF(P46&gt;=70, "B+",IF(P46&gt;=65, "B", IF(P46&gt;=60, "B-", IF(P46&gt;=55, "C+", IF(P46&gt;=50, "C", IF(P46&gt;=45, "C-", IF(P46&gt;=39, "D+", IF(P46&gt;=35, "D", IF(P46&gt;=0, "F" )))))))))))))</f>
        <v>C</v>
      </c>
      <c r="R46" s="3">
        <v>51</v>
      </c>
      <c r="S46" s="7" t="str">
        <f>IF(R46="-", "Absent", IF(R46&gt;=85, "A+", IF(R46&gt;=80, "A", IF(R46&gt;=75, "A-", IF(R46&gt;=70, "B+",IF(R46&gt;=65, "B", IF(R46&gt;=60, "B-", IF(R46&gt;=55, "C+", IF(R46&gt;=50, "C", IF(R46&gt;=45, "C-", IF(R46&gt;=39, "D+", IF(R46&gt;=35, "D", IF(R46&gt;=0, "F" )))))))))))))</f>
        <v>C</v>
      </c>
      <c r="T46" s="3">
        <v>60</v>
      </c>
      <c r="U46" s="7" t="str">
        <f>IF(T46="-", "Absent", IF(T46&gt;=85, "A+", IF(T46&gt;=80, "A", IF(T46&gt;=75, "A-", IF(T46&gt;=70, "B+",IF(T46&gt;=65, "B", IF(T46&gt;=60, "B-", IF(T46&gt;=55, "C+", IF(T46&gt;=50, "C", IF(T46&gt;=45, "C-", IF(T46&gt;=39, "D+", IF(T46&gt;=35, "D", IF(T46&gt;=0, "F" )))))))))))))</f>
        <v>B-</v>
      </c>
      <c r="V46" s="3">
        <v>63</v>
      </c>
      <c r="W46" s="7" t="str">
        <f>IF(V46="-", "Absent", IF(V46&gt;=85, "A+", IF(V46&gt;=80, "A", IF(V46&gt;=75, "A-", IF(V46&gt;=70, "B+",IF(V46&gt;=65, "B", IF(V46&gt;=60, "B-", IF(V46&gt;=55, "C+", IF(V46&gt;=50, "C", IF(V46&gt;=45, "C-", IF(V46&gt;=39, "D+", IF(V46&gt;=35, "D", IF(V46&gt;=0, "F" )))))))))))))</f>
        <v>B-</v>
      </c>
      <c r="X46" s="3">
        <v>75</v>
      </c>
      <c r="Y46" s="7" t="str">
        <f>IF(X46="-", "Absent", IF(X46&gt;=85, "A+", IF(X46&gt;=80, "A", IF(X46&gt;=75, "A-", IF(X46&gt;=70, "B+",IF(X46&gt;=65, "B", IF(X46&gt;=60, "B-", IF(X46&gt;=55, "C+", IF(X46&gt;=50, "C", IF(X46&gt;=45, "C-", IF(X46&gt;=39, "D+", IF(X46&gt;=35, "D", IF(X46&gt;=0, "F" )))))))))))))</f>
        <v>A-</v>
      </c>
      <c r="Z46" s="3">
        <v>59</v>
      </c>
      <c r="AA46" s="7" t="str">
        <f>IF(Z46="-", "Absent", IF(Z46&gt;=85, "A+", IF(Z46&gt;=80, "A", IF(Z46&gt;=75, "A-", IF(Z46&gt;=70, "B+",IF(Z46&gt;=65, "B", IF(Z46&gt;=60, "B-", IF(Z46&gt;=55, "C+", IF(Z46&gt;=50, "C", IF(Z46&gt;=45, "C-", IF(Z46&gt;=39, "D+", IF(Z46&gt;=35, "D", IF(Z46&gt;=0, "F" )))))))))))))</f>
        <v>C+</v>
      </c>
      <c r="AB46" s="3">
        <v>65</v>
      </c>
      <c r="AC46" s="7" t="str">
        <f>IF(AB46="-", "Absent", IF(AB46&gt;=85, "A+", IF(AB46&gt;=80, "A", IF(AB46&gt;=75, "A-", IF(AB46&gt;=70, "B+",IF(AB46&gt;=65, "B", IF(AB46&gt;=60, "B-", IF(AB46&gt;=55, "C+", IF(AB46&gt;=50, "C", IF(AB46&gt;=45, "C-", IF(AB46&gt;=39, "D+", IF(AB46&gt;=35, "D", IF(AB46&gt;=0, "F" )))))))))))))</f>
        <v>B</v>
      </c>
      <c r="AD46" s="3">
        <f>SUM(F46:AC46)</f>
        <v>666</v>
      </c>
      <c r="AE46" s="11">
        <f>(AD46/12)</f>
        <v>55.5</v>
      </c>
      <c r="AF46" s="8" t="s">
        <v>189</v>
      </c>
      <c r="AG46" s="32"/>
      <c r="AH46" s="35"/>
    </row>
    <row r="47" spans="1:34" ht="48.75" customHeight="1" x14ac:dyDescent="0.3">
      <c r="B47" s="21" t="s">
        <v>108</v>
      </c>
      <c r="C47" s="18" t="s">
        <v>151</v>
      </c>
      <c r="D47" s="1" t="s">
        <v>152</v>
      </c>
      <c r="E47" s="7" t="s">
        <v>83</v>
      </c>
      <c r="F47" s="5">
        <v>53</v>
      </c>
      <c r="G47" s="7" t="str">
        <f t="shared" ref="G47:G56" si="42">IF(F47="-", "Absent", IF(F47&gt;=85, "A+", IF(F47&gt;=80, "A", IF(F47&gt;=75, "A-", IF(F47&gt;=70, "B+",IF(F47&gt;=65, "B", IF(F47&gt;=60, "B-", IF(F47&gt;=55, "C+", IF(F47&gt;=50, "C", IF(F47&gt;=45, "C-", IF(F47&gt;=39, "D+", IF(F47&gt;=35, "D", IF(F47&gt;=0, "F" )))))))))))))</f>
        <v>C</v>
      </c>
      <c r="H47" s="5">
        <v>52</v>
      </c>
      <c r="I47" s="7" t="str">
        <f t="shared" ref="I47:I56" si="43">IF(H47="-", "Absent", IF(H47&gt;=85, "A+", IF(H47&gt;=80, "A", IF(H47&gt;=75, "A-", IF(H47&gt;=70, "B+",IF(H47&gt;=65, "B", IF(H47&gt;=60, "B-", IF(H47&gt;=55, "C+", IF(H47&gt;=50, "C", IF(H47&gt;=45, "C-", IF(H47&gt;=39, "D+", IF(H47&gt;=35, "D", IF(H47&gt;=0, "F" )))))))))))))</f>
        <v>C</v>
      </c>
      <c r="J47" s="5">
        <v>55</v>
      </c>
      <c r="K47" s="7" t="str">
        <f t="shared" ref="K47:K56" si="44">IF(J47="-", "Absent", IF(J47&gt;=85, "A+", IF(J47&gt;=80, "A", IF(J47&gt;=75, "A-", IF(J47&gt;=70, "B+",IF(J47&gt;=65, "B", IF(J47&gt;=60, "B-", IF(J47&gt;=55, "C+", IF(J47&gt;=50, "C", IF(J47&gt;=45, "C-", IF(J47&gt;=39, "D+", IF(J47&gt;=35, "D", IF(J47&gt;=0, "F" )))))))))))))</f>
        <v>C+</v>
      </c>
      <c r="L47" s="5">
        <v>59</v>
      </c>
      <c r="M47" s="7" t="str">
        <f t="shared" ref="M47:M56" si="45">IF(L47="-", "Absent", IF(L47&gt;=85, "A+", IF(L47&gt;=80, "A", IF(L47&gt;=75, "A-", IF(L47&gt;=70, "B+",IF(L47&gt;=65, "B", IF(L47&gt;=60, "B-", IF(L47&gt;=55, "C+", IF(L47&gt;=50, "C", IF(L47&gt;=45, "C-", IF(L47&gt;=39, "D+", IF(L47&gt;=35, "D", IF(L47&gt;=0, "F" )))))))))))))</f>
        <v>C+</v>
      </c>
      <c r="N47" s="5">
        <v>53</v>
      </c>
      <c r="O47" s="7" t="str">
        <f t="shared" ref="O47:O56" si="46">IF(N47="-", "Absent", IF(N47&gt;=85, "A+", IF(N47&gt;=80, "A", IF(N47&gt;=75, "A-", IF(N47&gt;=70, "B+",IF(N47&gt;=65, "B", IF(N47&gt;=60, "B-", IF(N47&gt;=55, "C+", IF(N47&gt;=50, "C", IF(N47&gt;=45, "C-", IF(N47&gt;=39, "D+", IF(N47&gt;=35, "D", IF(N47&gt;=0, "F" )))))))))))))</f>
        <v>C</v>
      </c>
      <c r="P47" s="5">
        <v>60</v>
      </c>
      <c r="Q47" s="7" t="str">
        <f t="shared" ref="Q47:Q56" si="47">IF(P47="-", "Absent", IF(P47&gt;=85, "A+", IF(P47&gt;=80, "A", IF(P47&gt;=75, "A-", IF(P47&gt;=70, "B+",IF(P47&gt;=65, "B", IF(P47&gt;=60, "B-", IF(P47&gt;=55, "C+", IF(P47&gt;=50, "C", IF(P47&gt;=45, "C-", IF(P47&gt;=39, "D+", IF(P47&gt;=35, "D", IF(P47&gt;=0, "F" )))))))))))))</f>
        <v>B-</v>
      </c>
      <c r="R47" s="5">
        <v>65</v>
      </c>
      <c r="S47" s="7" t="str">
        <f t="shared" ref="S47:S56" si="48">IF(R47="-", "Absent", IF(R47&gt;=85, "A+", IF(R47&gt;=80, "A", IF(R47&gt;=75, "A-", IF(R47&gt;=70, "B+",IF(R47&gt;=65, "B", IF(R47&gt;=60, "B-", IF(R47&gt;=55, "C+", IF(R47&gt;=50, "C", IF(R47&gt;=45, "C-", IF(R47&gt;=39, "D+", IF(R47&gt;=35, "D", IF(R47&gt;=0, "F" )))))))))))))</f>
        <v>B</v>
      </c>
      <c r="T47" s="5">
        <v>71</v>
      </c>
      <c r="U47" s="7" t="str">
        <f t="shared" ref="U47:U56" si="49">IF(T47="-", "Absent", IF(T47&gt;=85, "A+", IF(T47&gt;=80, "A", IF(T47&gt;=75, "A-", IF(T47&gt;=70, "B+",IF(T47&gt;=65, "B", IF(T47&gt;=60, "B-", IF(T47&gt;=55, "C+", IF(T47&gt;=50, "C", IF(T47&gt;=45, "C-", IF(T47&gt;=39, "D+", IF(T47&gt;=35, "D", IF(T47&gt;=0, "F" )))))))))))))</f>
        <v>B+</v>
      </c>
      <c r="V47" s="5">
        <v>67</v>
      </c>
      <c r="W47" s="7" t="str">
        <f>IF(V47="-", "Absent", IF(V47&gt;=85, "A+", IF(V47&gt;=80, "A", IF(V47&gt;=75, "A-", IF(V47&gt;=70, "B+",IF(V47&gt;=65, "B", IF(V47&gt;=60, "B-", IF(V47&gt;=55, "C+", IF(V47&gt;=50, "C", IF(V47&gt;=45, "C-", IF(V47&gt;=39, "D+", IF(V47&gt;=35, "D", IF(V47&gt;=0, "F" )))))))))))))</f>
        <v>B</v>
      </c>
      <c r="X47" s="5">
        <v>66</v>
      </c>
      <c r="Y47" s="7" t="str">
        <f>IF(X47="-", "Absent", IF(X47&gt;=85, "A+", IF(X47&gt;=80, "A", IF(X47&gt;=75, "A-", IF(X47&gt;=70, "B+",IF(X47&gt;=65, "B", IF(X47&gt;=60, "B-", IF(X47&gt;=55, "C+", IF(X47&gt;=50, "C", IF(X47&gt;=45, "C-", IF(X47&gt;=39, "D+", IF(X47&gt;=35, "D", IF(X47&gt;=0, "F" )))))))))))))</f>
        <v>B</v>
      </c>
      <c r="Z47" s="5">
        <v>62</v>
      </c>
      <c r="AA47" s="7" t="str">
        <f>IF(Z47="-", "Absent", IF(Z47&gt;=85, "A+", IF(Z47&gt;=80, "A", IF(Z47&gt;=75, "A-", IF(Z47&gt;=70, "B+",IF(Z47&gt;=65, "B", IF(Z47&gt;=60, "B-", IF(Z47&gt;=55, "C+", IF(Z47&gt;=50, "C", IF(Z47&gt;=45, "C-", IF(Z47&gt;=39, "D+", IF(Z47&gt;=35, "D", IF(Z47&gt;=0, "F" )))))))))))))</f>
        <v>B-</v>
      </c>
      <c r="AB47" s="5">
        <v>57</v>
      </c>
      <c r="AC47" s="7" t="str">
        <f>IF(AB47="-", "Absent", IF(AB47&gt;=85, "A+", IF(AB47&gt;=80, "A", IF(AB47&gt;=75, "A-", IF(AB47&gt;=70, "B+",IF(AB47&gt;=65, "B", IF(AB47&gt;=60, "B-", IF(AB47&gt;=55, "C+", IF(AB47&gt;=50, "C", IF(AB47&gt;=45, "C-", IF(AB47&gt;=39, "D+", IF(AB47&gt;=35, "D", IF(AB47&gt;=0, "F" )))))))))))))</f>
        <v>C+</v>
      </c>
      <c r="AD47" s="3">
        <f t="shared" ref="AD47:AD56" si="50">SUM(F47:AC47)</f>
        <v>720</v>
      </c>
      <c r="AE47" s="11">
        <f t="shared" ref="AE47:AE56" si="51">(AD47/12)</f>
        <v>60</v>
      </c>
      <c r="AF47" s="8" t="s">
        <v>189</v>
      </c>
      <c r="AG47" s="32"/>
      <c r="AH47" s="35"/>
    </row>
    <row r="48" spans="1:34" ht="30" customHeight="1" x14ac:dyDescent="0.3">
      <c r="B48" s="21" t="s">
        <v>109</v>
      </c>
      <c r="C48" s="18" t="s">
        <v>187</v>
      </c>
      <c r="D48" s="1" t="s">
        <v>188</v>
      </c>
      <c r="E48" s="7" t="s">
        <v>153</v>
      </c>
      <c r="F48" s="5">
        <v>24</v>
      </c>
      <c r="G48" s="7" t="str">
        <f t="shared" si="42"/>
        <v>F</v>
      </c>
      <c r="H48" s="5">
        <v>26</v>
      </c>
      <c r="I48" s="7" t="str">
        <f t="shared" si="43"/>
        <v>F</v>
      </c>
      <c r="J48" s="5">
        <v>25</v>
      </c>
      <c r="K48" s="7" t="str">
        <f t="shared" si="44"/>
        <v>F</v>
      </c>
      <c r="L48" s="5">
        <v>26</v>
      </c>
      <c r="M48" s="7" t="str">
        <f t="shared" si="45"/>
        <v>F</v>
      </c>
      <c r="N48" s="5">
        <v>27</v>
      </c>
      <c r="O48" s="7" t="str">
        <f t="shared" si="46"/>
        <v>F</v>
      </c>
      <c r="P48" s="5">
        <v>17</v>
      </c>
      <c r="Q48" s="7" t="str">
        <f t="shared" si="47"/>
        <v>F</v>
      </c>
      <c r="R48" s="5" t="s">
        <v>176</v>
      </c>
      <c r="S48" s="12" t="s">
        <v>176</v>
      </c>
      <c r="T48" s="5" t="s">
        <v>176</v>
      </c>
      <c r="U48" s="12" t="s">
        <v>176</v>
      </c>
      <c r="V48" s="5" t="s">
        <v>176</v>
      </c>
      <c r="W48" s="12" t="s">
        <v>176</v>
      </c>
      <c r="X48" s="5" t="s">
        <v>176</v>
      </c>
      <c r="Y48" s="12" t="s">
        <v>176</v>
      </c>
      <c r="Z48" s="5" t="s">
        <v>176</v>
      </c>
      <c r="AA48" s="12" t="s">
        <v>176</v>
      </c>
      <c r="AB48" s="5" t="s">
        <v>176</v>
      </c>
      <c r="AC48" s="12" t="s">
        <v>176</v>
      </c>
      <c r="AD48" s="3">
        <f t="shared" si="50"/>
        <v>145</v>
      </c>
      <c r="AE48" s="11">
        <f t="shared" si="51"/>
        <v>12.083333333333334</v>
      </c>
      <c r="AF48" s="8" t="s">
        <v>192</v>
      </c>
      <c r="AG48" s="32"/>
      <c r="AH48" s="35"/>
    </row>
    <row r="49" spans="2:34" ht="34.5" customHeight="1" x14ac:dyDescent="0.3">
      <c r="B49" s="21" t="s">
        <v>110</v>
      </c>
      <c r="C49" s="18" t="s">
        <v>155</v>
      </c>
      <c r="D49" s="2" t="s">
        <v>156</v>
      </c>
      <c r="E49" s="7" t="s">
        <v>154</v>
      </c>
      <c r="F49" s="3">
        <v>61</v>
      </c>
      <c r="G49" s="7" t="str">
        <f t="shared" si="42"/>
        <v>B-</v>
      </c>
      <c r="H49" s="13">
        <v>51</v>
      </c>
      <c r="I49" s="7" t="str">
        <f t="shared" si="43"/>
        <v>C</v>
      </c>
      <c r="J49" s="13">
        <v>65</v>
      </c>
      <c r="K49" s="7" t="str">
        <f t="shared" si="44"/>
        <v>B</v>
      </c>
      <c r="L49" s="13">
        <v>65</v>
      </c>
      <c r="M49" s="7" t="str">
        <f t="shared" si="45"/>
        <v>B</v>
      </c>
      <c r="N49" s="13">
        <v>55</v>
      </c>
      <c r="O49" s="7" t="str">
        <f t="shared" si="46"/>
        <v>C+</v>
      </c>
      <c r="P49" s="13">
        <v>55</v>
      </c>
      <c r="Q49" s="7" t="str">
        <f t="shared" si="47"/>
        <v>C+</v>
      </c>
      <c r="R49" s="13">
        <v>67</v>
      </c>
      <c r="S49" s="7" t="str">
        <f t="shared" si="48"/>
        <v>B</v>
      </c>
      <c r="T49" s="13">
        <v>65</v>
      </c>
      <c r="U49" s="7" t="str">
        <f t="shared" si="49"/>
        <v>B</v>
      </c>
      <c r="V49" s="13">
        <v>61</v>
      </c>
      <c r="W49" s="7" t="str">
        <f t="shared" ref="W49:W56" si="52">IF(V49="-", "Absent", IF(V49&gt;=85, "A+", IF(V49&gt;=80, "A", IF(V49&gt;=75, "A-", IF(V49&gt;=70, "B+",IF(V49&gt;=65, "B", IF(V49&gt;=60, "B-", IF(V49&gt;=55, "C+", IF(V49&gt;=50, "C", IF(V49&gt;=45, "C-", IF(V49&gt;=39, "D+", IF(V49&gt;=35, "D", IF(V49&gt;=0, "F" )))))))))))))</f>
        <v>B-</v>
      </c>
      <c r="X49" s="13">
        <v>71</v>
      </c>
      <c r="Y49" s="7" t="str">
        <f t="shared" ref="Y49:Y56" si="53">IF(X49="-", "Absent", IF(X49&gt;=85, "A+", IF(X49&gt;=80, "A", IF(X49&gt;=75, "A-", IF(X49&gt;=70, "B+",IF(X49&gt;=65, "B", IF(X49&gt;=60, "B-", IF(X49&gt;=55, "C+", IF(X49&gt;=50, "C", IF(X49&gt;=45, "C-", IF(X49&gt;=39, "D+", IF(X49&gt;=35, "D", IF(X49&gt;=0, "F" )))))))))))))</f>
        <v>B+</v>
      </c>
      <c r="Z49" s="13">
        <v>62</v>
      </c>
      <c r="AA49" s="7" t="str">
        <f t="shared" ref="AA49:AA56" si="54">IF(Z49="-", "Absent", IF(Z49&gt;=85, "A+", IF(Z49&gt;=80, "A", IF(Z49&gt;=75, "A-", IF(Z49&gt;=70, "B+",IF(Z49&gt;=65, "B", IF(Z49&gt;=60, "B-", IF(Z49&gt;=55, "C+", IF(Z49&gt;=50, "C", IF(Z49&gt;=45, "C-", IF(Z49&gt;=39, "D+", IF(Z49&gt;=35, "D", IF(Z49&gt;=0, "F" )))))))))))))</f>
        <v>B-</v>
      </c>
      <c r="AB49" s="13">
        <v>67</v>
      </c>
      <c r="AC49" s="7" t="str">
        <f t="shared" ref="AC49:AC56" si="55">IF(AB49="-", "Absent", IF(AB49&gt;=85, "A+", IF(AB49&gt;=80, "A", IF(AB49&gt;=75, "A-", IF(AB49&gt;=70, "B+",IF(AB49&gt;=65, "B", IF(AB49&gt;=60, "B-", IF(AB49&gt;=55, "C+", IF(AB49&gt;=50, "C", IF(AB49&gt;=45, "C-", IF(AB49&gt;=39, "D+", IF(AB49&gt;=35, "D", IF(AB49&gt;=0, "F" )))))))))))))</f>
        <v>B</v>
      </c>
      <c r="AD49" s="3">
        <f t="shared" si="50"/>
        <v>745</v>
      </c>
      <c r="AE49" s="11">
        <f t="shared" si="51"/>
        <v>62.083333333333336</v>
      </c>
      <c r="AF49" s="8" t="s">
        <v>189</v>
      </c>
      <c r="AG49" s="32"/>
      <c r="AH49" s="35"/>
    </row>
    <row r="50" spans="2:34" ht="36.75" customHeight="1" x14ac:dyDescent="0.3">
      <c r="B50" s="21" t="s">
        <v>111</v>
      </c>
      <c r="C50" s="18" t="s">
        <v>158</v>
      </c>
      <c r="D50" s="1" t="s">
        <v>159</v>
      </c>
      <c r="E50" s="7" t="s">
        <v>157</v>
      </c>
      <c r="F50" s="3">
        <v>68</v>
      </c>
      <c r="G50" s="7" t="str">
        <f t="shared" si="42"/>
        <v>B</v>
      </c>
      <c r="H50" s="13">
        <v>69</v>
      </c>
      <c r="I50" s="7" t="str">
        <f t="shared" si="43"/>
        <v>B</v>
      </c>
      <c r="J50" s="13">
        <v>69</v>
      </c>
      <c r="K50" s="7" t="str">
        <f t="shared" si="44"/>
        <v>B</v>
      </c>
      <c r="L50" s="13">
        <v>71</v>
      </c>
      <c r="M50" s="7" t="str">
        <f t="shared" si="45"/>
        <v>B+</v>
      </c>
      <c r="N50" s="13">
        <v>68</v>
      </c>
      <c r="O50" s="7" t="str">
        <f t="shared" si="46"/>
        <v>B</v>
      </c>
      <c r="P50" s="13">
        <v>61</v>
      </c>
      <c r="Q50" s="7" t="str">
        <f t="shared" si="47"/>
        <v>B-</v>
      </c>
      <c r="R50" s="13">
        <v>75</v>
      </c>
      <c r="S50" s="7" t="str">
        <f t="shared" si="48"/>
        <v>A-</v>
      </c>
      <c r="T50" s="13">
        <v>63</v>
      </c>
      <c r="U50" s="7" t="str">
        <f t="shared" si="49"/>
        <v>B-</v>
      </c>
      <c r="V50" s="13">
        <v>65</v>
      </c>
      <c r="W50" s="7" t="str">
        <f t="shared" si="52"/>
        <v>B</v>
      </c>
      <c r="X50" s="13">
        <v>71</v>
      </c>
      <c r="Y50" s="7" t="str">
        <f t="shared" si="53"/>
        <v>B+</v>
      </c>
      <c r="Z50" s="13">
        <v>71</v>
      </c>
      <c r="AA50" s="7" t="str">
        <f t="shared" si="54"/>
        <v>B+</v>
      </c>
      <c r="AB50" s="13">
        <v>77</v>
      </c>
      <c r="AC50" s="7" t="str">
        <f t="shared" si="55"/>
        <v>A-</v>
      </c>
      <c r="AD50" s="3">
        <f t="shared" si="50"/>
        <v>828</v>
      </c>
      <c r="AE50" s="11">
        <f t="shared" si="51"/>
        <v>69</v>
      </c>
      <c r="AF50" s="8" t="s">
        <v>190</v>
      </c>
      <c r="AG50" s="32"/>
      <c r="AH50" s="35"/>
    </row>
    <row r="51" spans="2:34" ht="24.75" customHeight="1" x14ac:dyDescent="0.3">
      <c r="B51" s="21" t="s">
        <v>112</v>
      </c>
      <c r="C51" s="18" t="s">
        <v>161</v>
      </c>
      <c r="D51" s="2">
        <v>197004000603</v>
      </c>
      <c r="E51" s="7" t="s">
        <v>160</v>
      </c>
      <c r="F51" s="3">
        <v>53</v>
      </c>
      <c r="G51" s="7" t="str">
        <f t="shared" si="42"/>
        <v>C</v>
      </c>
      <c r="H51" s="16">
        <v>66</v>
      </c>
      <c r="I51" s="7" t="str">
        <f t="shared" si="43"/>
        <v>B</v>
      </c>
      <c r="J51" s="13">
        <v>63</v>
      </c>
      <c r="K51" s="7" t="str">
        <f t="shared" si="44"/>
        <v>B-</v>
      </c>
      <c r="L51" s="13">
        <v>65</v>
      </c>
      <c r="M51" s="7" t="str">
        <f t="shared" si="45"/>
        <v>B</v>
      </c>
      <c r="N51" s="13">
        <v>61</v>
      </c>
      <c r="O51" s="7" t="str">
        <f t="shared" si="46"/>
        <v>B-</v>
      </c>
      <c r="P51" s="13">
        <v>61</v>
      </c>
      <c r="Q51" s="7" t="str">
        <f t="shared" si="47"/>
        <v>B-</v>
      </c>
      <c r="R51" s="13">
        <v>80</v>
      </c>
      <c r="S51" s="7" t="str">
        <f t="shared" si="48"/>
        <v>A</v>
      </c>
      <c r="T51" s="13">
        <v>75</v>
      </c>
      <c r="U51" s="7" t="str">
        <f t="shared" si="49"/>
        <v>A-</v>
      </c>
      <c r="V51" s="13">
        <v>77</v>
      </c>
      <c r="W51" s="7" t="str">
        <f t="shared" si="52"/>
        <v>A-</v>
      </c>
      <c r="X51" s="13">
        <v>84</v>
      </c>
      <c r="Y51" s="7" t="str">
        <f t="shared" si="53"/>
        <v>A</v>
      </c>
      <c r="Z51" s="13">
        <v>68</v>
      </c>
      <c r="AA51" s="7" t="str">
        <f t="shared" si="54"/>
        <v>B</v>
      </c>
      <c r="AB51" s="13">
        <v>72</v>
      </c>
      <c r="AC51" s="7" t="str">
        <f t="shared" si="55"/>
        <v>B+</v>
      </c>
      <c r="AD51" s="3">
        <f t="shared" si="50"/>
        <v>825</v>
      </c>
      <c r="AE51" s="11">
        <f t="shared" si="51"/>
        <v>68.75</v>
      </c>
      <c r="AF51" s="8" t="s">
        <v>190</v>
      </c>
      <c r="AG51" s="32"/>
      <c r="AH51" s="35"/>
    </row>
    <row r="52" spans="2:34" ht="34.5" customHeight="1" x14ac:dyDescent="0.3">
      <c r="B52" s="21" t="s">
        <v>113</v>
      </c>
      <c r="C52" s="18" t="s">
        <v>162</v>
      </c>
      <c r="D52" s="2">
        <v>197014500477</v>
      </c>
      <c r="E52" s="7" t="s">
        <v>124</v>
      </c>
      <c r="F52" s="3">
        <v>63</v>
      </c>
      <c r="G52" s="7" t="str">
        <f t="shared" si="42"/>
        <v>B-</v>
      </c>
      <c r="H52" s="1">
        <v>52</v>
      </c>
      <c r="I52" s="7" t="str">
        <f t="shared" si="43"/>
        <v>C</v>
      </c>
      <c r="J52" s="3">
        <v>63</v>
      </c>
      <c r="K52" s="7" t="str">
        <f t="shared" si="44"/>
        <v>B-</v>
      </c>
      <c r="L52" s="3">
        <v>59</v>
      </c>
      <c r="M52" s="7" t="str">
        <f t="shared" si="45"/>
        <v>C+</v>
      </c>
      <c r="N52" s="3">
        <v>58</v>
      </c>
      <c r="O52" s="7" t="str">
        <f t="shared" si="46"/>
        <v>C+</v>
      </c>
      <c r="P52" s="3">
        <v>63</v>
      </c>
      <c r="Q52" s="7" t="str">
        <f t="shared" si="47"/>
        <v>B-</v>
      </c>
      <c r="R52" s="3">
        <v>57</v>
      </c>
      <c r="S52" s="7" t="str">
        <f t="shared" si="48"/>
        <v>C+</v>
      </c>
      <c r="T52" s="3">
        <v>68</v>
      </c>
      <c r="U52" s="7" t="str">
        <f t="shared" si="49"/>
        <v>B</v>
      </c>
      <c r="V52" s="3">
        <v>69</v>
      </c>
      <c r="W52" s="7" t="str">
        <f t="shared" si="52"/>
        <v>B</v>
      </c>
      <c r="X52" s="3">
        <v>65</v>
      </c>
      <c r="Y52" s="7" t="str">
        <f t="shared" si="53"/>
        <v>B</v>
      </c>
      <c r="Z52" s="3">
        <v>69</v>
      </c>
      <c r="AA52" s="7" t="str">
        <f t="shared" si="54"/>
        <v>B</v>
      </c>
      <c r="AB52" s="3">
        <v>73</v>
      </c>
      <c r="AC52" s="7" t="str">
        <f t="shared" si="55"/>
        <v>B+</v>
      </c>
      <c r="AD52" s="3">
        <f t="shared" si="50"/>
        <v>759</v>
      </c>
      <c r="AE52" s="11">
        <f t="shared" si="51"/>
        <v>63.25</v>
      </c>
      <c r="AF52" s="8" t="s">
        <v>189</v>
      </c>
      <c r="AG52" s="32"/>
      <c r="AH52" s="35"/>
    </row>
    <row r="53" spans="2:34" ht="34.5" customHeight="1" x14ac:dyDescent="0.3">
      <c r="B53" s="21" t="s">
        <v>114</v>
      </c>
      <c r="C53" s="18" t="s">
        <v>165</v>
      </c>
      <c r="D53" s="2" t="s">
        <v>166</v>
      </c>
      <c r="E53" s="7" t="s">
        <v>164</v>
      </c>
      <c r="F53" s="3">
        <v>69</v>
      </c>
      <c r="G53" s="7" t="str">
        <f t="shared" si="42"/>
        <v>B</v>
      </c>
      <c r="H53" s="3">
        <v>61</v>
      </c>
      <c r="I53" s="7" t="str">
        <f t="shared" si="43"/>
        <v>B-</v>
      </c>
      <c r="J53" s="3">
        <v>71</v>
      </c>
      <c r="K53" s="7" t="str">
        <f t="shared" si="44"/>
        <v>B+</v>
      </c>
      <c r="L53" s="3">
        <v>70</v>
      </c>
      <c r="M53" s="7" t="str">
        <f t="shared" si="45"/>
        <v>B+</v>
      </c>
      <c r="N53" s="3">
        <v>66</v>
      </c>
      <c r="O53" s="7" t="str">
        <f t="shared" si="46"/>
        <v>B</v>
      </c>
      <c r="P53" s="3">
        <v>59</v>
      </c>
      <c r="Q53" s="7" t="str">
        <f t="shared" si="47"/>
        <v>C+</v>
      </c>
      <c r="R53" s="3">
        <v>79</v>
      </c>
      <c r="S53" s="7" t="str">
        <f t="shared" si="48"/>
        <v>A-</v>
      </c>
      <c r="T53" s="3">
        <v>78</v>
      </c>
      <c r="U53" s="7" t="str">
        <f t="shared" si="49"/>
        <v>A-</v>
      </c>
      <c r="V53" s="3">
        <v>73</v>
      </c>
      <c r="W53" s="7" t="str">
        <f t="shared" si="52"/>
        <v>B+</v>
      </c>
      <c r="X53" s="3">
        <v>82</v>
      </c>
      <c r="Y53" s="7" t="str">
        <f t="shared" si="53"/>
        <v>A</v>
      </c>
      <c r="Z53" s="3">
        <v>62</v>
      </c>
      <c r="AA53" s="7" t="str">
        <f t="shared" si="54"/>
        <v>B-</v>
      </c>
      <c r="AB53" s="3">
        <v>78</v>
      </c>
      <c r="AC53" s="7" t="str">
        <f t="shared" si="55"/>
        <v>A-</v>
      </c>
      <c r="AD53" s="3">
        <f t="shared" si="50"/>
        <v>848</v>
      </c>
      <c r="AE53" s="11">
        <f t="shared" si="51"/>
        <v>70.666666666666671</v>
      </c>
      <c r="AF53" s="8" t="s">
        <v>190</v>
      </c>
      <c r="AG53" s="32"/>
      <c r="AH53" s="35"/>
    </row>
    <row r="54" spans="2:34" ht="30" customHeight="1" x14ac:dyDescent="0.3">
      <c r="B54" s="21" t="s">
        <v>115</v>
      </c>
      <c r="C54" s="18" t="s">
        <v>168</v>
      </c>
      <c r="D54" s="2">
        <v>198851101947</v>
      </c>
      <c r="E54" s="7" t="s">
        <v>167</v>
      </c>
      <c r="F54" s="3">
        <v>64</v>
      </c>
      <c r="G54" s="7" t="str">
        <f t="shared" si="42"/>
        <v>B-</v>
      </c>
      <c r="H54" s="3">
        <v>68</v>
      </c>
      <c r="I54" s="7" t="str">
        <f t="shared" si="43"/>
        <v>B</v>
      </c>
      <c r="J54" s="3">
        <v>69</v>
      </c>
      <c r="K54" s="7" t="str">
        <f t="shared" si="44"/>
        <v>B</v>
      </c>
      <c r="L54" s="3">
        <v>68</v>
      </c>
      <c r="M54" s="7" t="str">
        <f t="shared" si="45"/>
        <v>B</v>
      </c>
      <c r="N54" s="3">
        <v>63</v>
      </c>
      <c r="O54" s="7" t="str">
        <f t="shared" si="46"/>
        <v>B-</v>
      </c>
      <c r="P54" s="3">
        <v>71</v>
      </c>
      <c r="Q54" s="7" t="str">
        <f t="shared" si="47"/>
        <v>B+</v>
      </c>
      <c r="R54" s="3">
        <v>59</v>
      </c>
      <c r="S54" s="7" t="str">
        <f t="shared" si="48"/>
        <v>C+</v>
      </c>
      <c r="T54" s="3">
        <v>65</v>
      </c>
      <c r="U54" s="7" t="str">
        <f t="shared" si="49"/>
        <v>B</v>
      </c>
      <c r="V54" s="3">
        <v>74</v>
      </c>
      <c r="W54" s="7" t="str">
        <f t="shared" si="52"/>
        <v>B+</v>
      </c>
      <c r="X54" s="3">
        <v>75</v>
      </c>
      <c r="Y54" s="7" t="str">
        <f t="shared" si="53"/>
        <v>A-</v>
      </c>
      <c r="Z54" s="3">
        <v>68</v>
      </c>
      <c r="AA54" s="7" t="str">
        <f t="shared" si="54"/>
        <v>B</v>
      </c>
      <c r="AB54" s="3">
        <v>63</v>
      </c>
      <c r="AC54" s="7" t="str">
        <f t="shared" si="55"/>
        <v>B-</v>
      </c>
      <c r="AD54" s="3">
        <f t="shared" si="50"/>
        <v>807</v>
      </c>
      <c r="AE54" s="11">
        <f t="shared" si="51"/>
        <v>67.25</v>
      </c>
      <c r="AF54" s="8" t="s">
        <v>190</v>
      </c>
      <c r="AG54" s="32"/>
      <c r="AH54" s="35"/>
    </row>
    <row r="55" spans="2:34" ht="32.25" customHeight="1" x14ac:dyDescent="0.3">
      <c r="B55" s="21" t="s">
        <v>116</v>
      </c>
      <c r="C55" s="18" t="s">
        <v>171</v>
      </c>
      <c r="D55" s="2">
        <v>198266303638</v>
      </c>
      <c r="E55" s="7" t="s">
        <v>169</v>
      </c>
      <c r="F55" s="3">
        <v>64</v>
      </c>
      <c r="G55" s="7" t="str">
        <f t="shared" si="42"/>
        <v>B-</v>
      </c>
      <c r="H55" s="3">
        <v>60</v>
      </c>
      <c r="I55" s="7" t="str">
        <f t="shared" si="43"/>
        <v>B-</v>
      </c>
      <c r="J55" s="3">
        <v>66</v>
      </c>
      <c r="K55" s="7" t="str">
        <f t="shared" si="44"/>
        <v>B</v>
      </c>
      <c r="L55" s="3">
        <v>66</v>
      </c>
      <c r="M55" s="7" t="str">
        <f t="shared" si="45"/>
        <v>B</v>
      </c>
      <c r="N55" s="3">
        <v>65</v>
      </c>
      <c r="O55" s="7" t="str">
        <f t="shared" si="46"/>
        <v>B</v>
      </c>
      <c r="P55" s="3">
        <v>63</v>
      </c>
      <c r="Q55" s="7" t="str">
        <f t="shared" si="47"/>
        <v>B-</v>
      </c>
      <c r="R55" s="3">
        <v>75</v>
      </c>
      <c r="S55" s="7" t="str">
        <f t="shared" si="48"/>
        <v>A-</v>
      </c>
      <c r="T55" s="3">
        <v>65</v>
      </c>
      <c r="U55" s="7" t="str">
        <f t="shared" si="49"/>
        <v>B</v>
      </c>
      <c r="V55" s="3">
        <v>76</v>
      </c>
      <c r="W55" s="7" t="str">
        <f t="shared" si="52"/>
        <v>A-</v>
      </c>
      <c r="X55" s="3">
        <v>78</v>
      </c>
      <c r="Y55" s="7" t="str">
        <f t="shared" si="53"/>
        <v>A-</v>
      </c>
      <c r="Z55" s="3">
        <v>67</v>
      </c>
      <c r="AA55" s="7" t="str">
        <f t="shared" si="54"/>
        <v>B</v>
      </c>
      <c r="AB55" s="3">
        <v>77</v>
      </c>
      <c r="AC55" s="7" t="str">
        <f t="shared" si="55"/>
        <v>A-</v>
      </c>
      <c r="AD55" s="3">
        <f t="shared" si="50"/>
        <v>822</v>
      </c>
      <c r="AE55" s="11">
        <f t="shared" si="51"/>
        <v>68.5</v>
      </c>
      <c r="AF55" s="8" t="s">
        <v>190</v>
      </c>
      <c r="AG55" s="32"/>
      <c r="AH55" s="35"/>
    </row>
    <row r="56" spans="2:34" ht="28.2" thickBot="1" x14ac:dyDescent="0.35">
      <c r="B56" s="22" t="s">
        <v>117</v>
      </c>
      <c r="C56" s="23" t="s">
        <v>173</v>
      </c>
      <c r="D56" s="24">
        <v>197565803484</v>
      </c>
      <c r="E56" s="25" t="s">
        <v>172</v>
      </c>
      <c r="F56" s="26">
        <v>57</v>
      </c>
      <c r="G56" s="25" t="str">
        <f t="shared" si="42"/>
        <v>C+</v>
      </c>
      <c r="H56" s="26">
        <v>59</v>
      </c>
      <c r="I56" s="25" t="str">
        <f t="shared" si="43"/>
        <v>C+</v>
      </c>
      <c r="J56" s="26">
        <v>64</v>
      </c>
      <c r="K56" s="25" t="str">
        <f t="shared" si="44"/>
        <v>B-</v>
      </c>
      <c r="L56" s="26">
        <v>64</v>
      </c>
      <c r="M56" s="25" t="str">
        <f t="shared" si="45"/>
        <v>B-</v>
      </c>
      <c r="N56" s="26">
        <v>57</v>
      </c>
      <c r="O56" s="25" t="str">
        <f t="shared" si="46"/>
        <v>C+</v>
      </c>
      <c r="P56" s="26">
        <v>59</v>
      </c>
      <c r="Q56" s="25" t="str">
        <f t="shared" si="47"/>
        <v>C+</v>
      </c>
      <c r="R56" s="26">
        <v>69</v>
      </c>
      <c r="S56" s="25" t="str">
        <f t="shared" si="48"/>
        <v>B</v>
      </c>
      <c r="T56" s="26">
        <v>71</v>
      </c>
      <c r="U56" s="25" t="str">
        <f t="shared" si="49"/>
        <v>B+</v>
      </c>
      <c r="V56" s="26">
        <v>71</v>
      </c>
      <c r="W56" s="25" t="str">
        <f t="shared" si="52"/>
        <v>B+</v>
      </c>
      <c r="X56" s="26">
        <v>78</v>
      </c>
      <c r="Y56" s="25" t="str">
        <f t="shared" si="53"/>
        <v>A-</v>
      </c>
      <c r="Z56" s="26">
        <v>58</v>
      </c>
      <c r="AA56" s="25" t="str">
        <f t="shared" si="54"/>
        <v>C+</v>
      </c>
      <c r="AB56" s="26">
        <v>60</v>
      </c>
      <c r="AC56" s="25" t="str">
        <f t="shared" si="55"/>
        <v>B-</v>
      </c>
      <c r="AD56" s="26">
        <f t="shared" si="50"/>
        <v>767</v>
      </c>
      <c r="AE56" s="27">
        <f t="shared" si="51"/>
        <v>63.916666666666664</v>
      </c>
      <c r="AF56" s="28" t="s">
        <v>189</v>
      </c>
      <c r="AG56" s="34"/>
      <c r="AH56" s="35"/>
    </row>
    <row r="58" spans="2:34" x14ac:dyDescent="0.3">
      <c r="E58" s="31"/>
    </row>
  </sheetData>
  <mergeCells count="25">
    <mergeCell ref="D6:D7"/>
    <mergeCell ref="C6:C7"/>
    <mergeCell ref="B6:B7"/>
    <mergeCell ref="AD6:AD7"/>
    <mergeCell ref="AE6:AE7"/>
    <mergeCell ref="AF6:AF7"/>
    <mergeCell ref="AH6:AH7"/>
    <mergeCell ref="E6:E7"/>
    <mergeCell ref="AB6:AC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B4:AF4"/>
    <mergeCell ref="B5:AF5"/>
    <mergeCell ref="B1:AF1"/>
    <mergeCell ref="B2:AF2"/>
    <mergeCell ref="B3:AF3"/>
  </mergeCells>
  <phoneticPr fontId="4" type="noConversion"/>
  <pageMargins left="0" right="0" top="0" bottom="0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Sheet3</vt:lpstr>
      <vt:lpstr>Sheet1</vt:lpstr>
      <vt:lpstr>Sheet3!Print_Area</vt:lpstr>
      <vt:lpstr>Sheet3!Print_Titles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Yasiru Jayasinghe</cp:lastModifiedBy>
  <cp:lastPrinted>2026-06-01T05:10:15Z</cp:lastPrinted>
  <dcterms:created xsi:type="dcterms:W3CDTF">2026-01-09T10:03:19Z</dcterms:created>
  <dcterms:modified xsi:type="dcterms:W3CDTF">2026-08-06T04:39:34Z</dcterms:modified>
</cp:coreProperties>
</file>