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c-Link\Downloads\Results (2)\Results\"/>
    </mc:Choice>
  </mc:AlternateContent>
  <xr:revisionPtr revIDLastSave="0" documentId="13_ncr:1_{5514C589-BF4E-47B9-8693-9B89EACA43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Marks" sheetId="9" r:id="rId1"/>
  </sheets>
  <definedNames>
    <definedName name="_xlnm.Print_Area" localSheetId="0">'Final Marks'!$A$1:$AG$97</definedName>
    <definedName name="_xlnm.Print_Titles" localSheetId="0">'Final Marks'!$1:$6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9" l="1"/>
  <c r="O28" i="9" s="1"/>
  <c r="P28" i="9"/>
  <c r="R28" i="9"/>
  <c r="S28" i="9" s="1"/>
  <c r="T28" i="9"/>
  <c r="U28" i="9" s="1"/>
  <c r="V28" i="9"/>
  <c r="W28" i="9" s="1"/>
  <c r="X28" i="9"/>
  <c r="Y28" i="9" s="1"/>
  <c r="Z28" i="9"/>
  <c r="AA28" i="9" s="1"/>
  <c r="AB28" i="9"/>
  <c r="AC28" i="9" s="1"/>
  <c r="N29" i="9"/>
  <c r="O29" i="9" s="1"/>
  <c r="P29" i="9"/>
  <c r="Q29" i="9" s="1"/>
  <c r="R29" i="9"/>
  <c r="S29" i="9" s="1"/>
  <c r="T29" i="9"/>
  <c r="U29" i="9" s="1"/>
  <c r="V29" i="9"/>
  <c r="W29" i="9" s="1"/>
  <c r="X29" i="9"/>
  <c r="Y29" i="9" s="1"/>
  <c r="Z29" i="9"/>
  <c r="AA29" i="9" s="1"/>
  <c r="AB29" i="9"/>
  <c r="AC29" i="9" s="1"/>
  <c r="AD28" i="9" l="1"/>
  <c r="AE28" i="9" s="1"/>
  <c r="AF28" i="9" s="1"/>
  <c r="Q28" i="9"/>
  <c r="AD29" i="9"/>
  <c r="AE29" i="9" s="1"/>
  <c r="AF29" i="9" s="1"/>
  <c r="AC12" i="9" l="1"/>
  <c r="AC30" i="9"/>
  <c r="AC98" i="9"/>
  <c r="AA12" i="9"/>
  <c r="AA17" i="9"/>
  <c r="AA20" i="9"/>
  <c r="AA30" i="9"/>
  <c r="AA98" i="9"/>
  <c r="Y12" i="9"/>
  <c r="Y14" i="9"/>
  <c r="Y30" i="9"/>
  <c r="Y98" i="9"/>
  <c r="W12" i="9"/>
  <c r="W30" i="9"/>
  <c r="W98" i="9"/>
  <c r="U12" i="9"/>
  <c r="U14" i="9"/>
  <c r="U30" i="9"/>
  <c r="U76" i="9"/>
  <c r="U98" i="9"/>
  <c r="S12" i="9"/>
  <c r="S14" i="9"/>
  <c r="S30" i="9"/>
  <c r="S32" i="9"/>
  <c r="S98" i="9"/>
  <c r="N12" i="9"/>
  <c r="O12" i="9" s="1"/>
  <c r="P12" i="9"/>
  <c r="Q12" i="9" s="1"/>
  <c r="P98" i="9"/>
  <c r="Q98" i="9" s="1"/>
  <c r="N98" i="9"/>
  <c r="O98" i="9" s="1"/>
  <c r="AB97" i="9"/>
  <c r="AC97" i="9" s="1"/>
  <c r="Z97" i="9"/>
  <c r="AA97" i="9" s="1"/>
  <c r="X97" i="9"/>
  <c r="Y97" i="9" s="1"/>
  <c r="V97" i="9"/>
  <c r="W97" i="9" s="1"/>
  <c r="T97" i="9"/>
  <c r="U97" i="9" s="1"/>
  <c r="R97" i="9"/>
  <c r="S97" i="9" s="1"/>
  <c r="P97" i="9"/>
  <c r="Q97" i="9" s="1"/>
  <c r="N97" i="9"/>
  <c r="O97" i="9" s="1"/>
  <c r="AB96" i="9"/>
  <c r="AC96" i="9" s="1"/>
  <c r="Z96" i="9"/>
  <c r="AA96" i="9" s="1"/>
  <c r="X96" i="9"/>
  <c r="Y96" i="9" s="1"/>
  <c r="V96" i="9"/>
  <c r="W96" i="9" s="1"/>
  <c r="T96" i="9"/>
  <c r="U96" i="9" s="1"/>
  <c r="R96" i="9"/>
  <c r="S96" i="9" s="1"/>
  <c r="P96" i="9"/>
  <c r="Q96" i="9" s="1"/>
  <c r="N96" i="9"/>
  <c r="O96" i="9" s="1"/>
  <c r="AB95" i="9"/>
  <c r="AC95" i="9" s="1"/>
  <c r="Z95" i="9"/>
  <c r="AA95" i="9" s="1"/>
  <c r="X95" i="9"/>
  <c r="Y95" i="9" s="1"/>
  <c r="V95" i="9"/>
  <c r="W95" i="9" s="1"/>
  <c r="T95" i="9"/>
  <c r="U95" i="9" s="1"/>
  <c r="R95" i="9"/>
  <c r="S95" i="9" s="1"/>
  <c r="P95" i="9"/>
  <c r="Q95" i="9" s="1"/>
  <c r="N95" i="9"/>
  <c r="O95" i="9" s="1"/>
  <c r="AB92" i="9"/>
  <c r="AC92" i="9" s="1"/>
  <c r="Z92" i="9"/>
  <c r="AA92" i="9" s="1"/>
  <c r="X92" i="9"/>
  <c r="Y92" i="9" s="1"/>
  <c r="V92" i="9"/>
  <c r="W92" i="9" s="1"/>
  <c r="T92" i="9"/>
  <c r="U92" i="9" s="1"/>
  <c r="R92" i="9"/>
  <c r="S92" i="9" s="1"/>
  <c r="P92" i="9"/>
  <c r="Q92" i="9" s="1"/>
  <c r="N92" i="9"/>
  <c r="O92" i="9" s="1"/>
  <c r="AB91" i="9"/>
  <c r="AC91" i="9" s="1"/>
  <c r="Z91" i="9"/>
  <c r="AA91" i="9" s="1"/>
  <c r="X91" i="9"/>
  <c r="Y91" i="9" s="1"/>
  <c r="V91" i="9"/>
  <c r="W91" i="9" s="1"/>
  <c r="T91" i="9"/>
  <c r="U91" i="9" s="1"/>
  <c r="R91" i="9"/>
  <c r="S91" i="9" s="1"/>
  <c r="P91" i="9"/>
  <c r="Q91" i="9" s="1"/>
  <c r="N91" i="9"/>
  <c r="O91" i="9" s="1"/>
  <c r="AB90" i="9"/>
  <c r="AC90" i="9" s="1"/>
  <c r="Z90" i="9"/>
  <c r="AA90" i="9" s="1"/>
  <c r="X90" i="9"/>
  <c r="Y90" i="9" s="1"/>
  <c r="V90" i="9"/>
  <c r="W90" i="9" s="1"/>
  <c r="T90" i="9"/>
  <c r="U90" i="9" s="1"/>
  <c r="R90" i="9"/>
  <c r="S90" i="9" s="1"/>
  <c r="P90" i="9"/>
  <c r="Q90" i="9" s="1"/>
  <c r="N90" i="9"/>
  <c r="O90" i="9" s="1"/>
  <c r="AB89" i="9"/>
  <c r="AC89" i="9" s="1"/>
  <c r="Z89" i="9"/>
  <c r="AA89" i="9" s="1"/>
  <c r="X89" i="9"/>
  <c r="Y89" i="9" s="1"/>
  <c r="V89" i="9"/>
  <c r="W89" i="9" s="1"/>
  <c r="T89" i="9"/>
  <c r="U89" i="9" s="1"/>
  <c r="R89" i="9"/>
  <c r="S89" i="9" s="1"/>
  <c r="P89" i="9"/>
  <c r="Q89" i="9" s="1"/>
  <c r="N89" i="9"/>
  <c r="O89" i="9" s="1"/>
  <c r="AB88" i="9"/>
  <c r="AC88" i="9" s="1"/>
  <c r="Z88" i="9"/>
  <c r="AA88" i="9" s="1"/>
  <c r="X88" i="9"/>
  <c r="Y88" i="9" s="1"/>
  <c r="V88" i="9"/>
  <c r="W88" i="9" s="1"/>
  <c r="T88" i="9"/>
  <c r="U88" i="9" s="1"/>
  <c r="R88" i="9"/>
  <c r="S88" i="9" s="1"/>
  <c r="P88" i="9"/>
  <c r="Q88" i="9" s="1"/>
  <c r="N88" i="9"/>
  <c r="O88" i="9" s="1"/>
  <c r="AB87" i="9"/>
  <c r="AC87" i="9" s="1"/>
  <c r="Z87" i="9"/>
  <c r="AA87" i="9" s="1"/>
  <c r="X87" i="9"/>
  <c r="Y87" i="9" s="1"/>
  <c r="V87" i="9"/>
  <c r="W87" i="9" s="1"/>
  <c r="T87" i="9"/>
  <c r="U87" i="9" s="1"/>
  <c r="R87" i="9"/>
  <c r="S87" i="9" s="1"/>
  <c r="P87" i="9"/>
  <c r="Q87" i="9" s="1"/>
  <c r="N87" i="9"/>
  <c r="O87" i="9" s="1"/>
  <c r="P86" i="9"/>
  <c r="Q86" i="9" s="1"/>
  <c r="N86" i="9"/>
  <c r="O86" i="9" s="1"/>
  <c r="AB84" i="9"/>
  <c r="AC84" i="9" s="1"/>
  <c r="Z84" i="9"/>
  <c r="AA84" i="9" s="1"/>
  <c r="X84" i="9"/>
  <c r="Y84" i="9" s="1"/>
  <c r="V84" i="9"/>
  <c r="W84" i="9" s="1"/>
  <c r="T84" i="9"/>
  <c r="U84" i="9" s="1"/>
  <c r="R84" i="9"/>
  <c r="S84" i="9" s="1"/>
  <c r="P84" i="9"/>
  <c r="Q84" i="9" s="1"/>
  <c r="N84" i="9"/>
  <c r="O84" i="9" s="1"/>
  <c r="AB82" i="9"/>
  <c r="AC82" i="9" s="1"/>
  <c r="Z82" i="9"/>
  <c r="AA82" i="9" s="1"/>
  <c r="X82" i="9"/>
  <c r="Y82" i="9" s="1"/>
  <c r="V82" i="9"/>
  <c r="W82" i="9" s="1"/>
  <c r="T82" i="9"/>
  <c r="U82" i="9" s="1"/>
  <c r="R82" i="9"/>
  <c r="S82" i="9" s="1"/>
  <c r="P82" i="9"/>
  <c r="Q82" i="9" s="1"/>
  <c r="N82" i="9"/>
  <c r="O82" i="9" s="1"/>
  <c r="P81" i="9"/>
  <c r="Q81" i="9" s="1"/>
  <c r="N81" i="9"/>
  <c r="O81" i="9" s="1"/>
  <c r="AB80" i="9"/>
  <c r="AC80" i="9" s="1"/>
  <c r="Z80" i="9"/>
  <c r="AA80" i="9" s="1"/>
  <c r="X80" i="9"/>
  <c r="Y80" i="9" s="1"/>
  <c r="V80" i="9"/>
  <c r="W80" i="9" s="1"/>
  <c r="T80" i="9"/>
  <c r="U80" i="9" s="1"/>
  <c r="R80" i="9"/>
  <c r="S80" i="9" s="1"/>
  <c r="P80" i="9"/>
  <c r="Q80" i="9" s="1"/>
  <c r="N80" i="9"/>
  <c r="O80" i="9" s="1"/>
  <c r="AB79" i="9"/>
  <c r="AC79" i="9" s="1"/>
  <c r="Z79" i="9"/>
  <c r="AA79" i="9" s="1"/>
  <c r="X79" i="9"/>
  <c r="Y79" i="9" s="1"/>
  <c r="V79" i="9"/>
  <c r="W79" i="9" s="1"/>
  <c r="T79" i="9"/>
  <c r="U79" i="9" s="1"/>
  <c r="R79" i="9"/>
  <c r="S79" i="9" s="1"/>
  <c r="P79" i="9"/>
  <c r="Q79" i="9" s="1"/>
  <c r="N79" i="9"/>
  <c r="O79" i="9" s="1"/>
  <c r="AB77" i="9"/>
  <c r="AC77" i="9" s="1"/>
  <c r="Z77" i="9"/>
  <c r="AA77" i="9" s="1"/>
  <c r="X77" i="9"/>
  <c r="Y77" i="9" s="1"/>
  <c r="V77" i="9"/>
  <c r="W77" i="9" s="1"/>
  <c r="T77" i="9"/>
  <c r="U77" i="9" s="1"/>
  <c r="R77" i="9"/>
  <c r="S77" i="9" s="1"/>
  <c r="P77" i="9"/>
  <c r="Q77" i="9" s="1"/>
  <c r="N77" i="9"/>
  <c r="O77" i="9" s="1"/>
  <c r="AB76" i="9"/>
  <c r="AC76" i="9" s="1"/>
  <c r="Z76" i="9"/>
  <c r="AA76" i="9" s="1"/>
  <c r="X76" i="9"/>
  <c r="Y76" i="9" s="1"/>
  <c r="V76" i="9"/>
  <c r="W76" i="9" s="1"/>
  <c r="R76" i="9"/>
  <c r="S76" i="9" s="1"/>
  <c r="P76" i="9"/>
  <c r="Q76" i="9" s="1"/>
  <c r="N76" i="9"/>
  <c r="O76" i="9" s="1"/>
  <c r="AB75" i="9"/>
  <c r="AC75" i="9" s="1"/>
  <c r="Z75" i="9"/>
  <c r="AA75" i="9" s="1"/>
  <c r="X75" i="9"/>
  <c r="Y75" i="9" s="1"/>
  <c r="V75" i="9"/>
  <c r="W75" i="9" s="1"/>
  <c r="T75" i="9"/>
  <c r="U75" i="9" s="1"/>
  <c r="R75" i="9"/>
  <c r="S75" i="9" s="1"/>
  <c r="P75" i="9"/>
  <c r="Q75" i="9" s="1"/>
  <c r="N75" i="9"/>
  <c r="O75" i="9" s="1"/>
  <c r="AB74" i="9"/>
  <c r="AC74" i="9" s="1"/>
  <c r="Z74" i="9"/>
  <c r="AA74" i="9" s="1"/>
  <c r="X74" i="9"/>
  <c r="Y74" i="9" s="1"/>
  <c r="V74" i="9"/>
  <c r="W74" i="9" s="1"/>
  <c r="T74" i="9"/>
  <c r="U74" i="9" s="1"/>
  <c r="R74" i="9"/>
  <c r="S74" i="9" s="1"/>
  <c r="P74" i="9"/>
  <c r="Q74" i="9" s="1"/>
  <c r="N74" i="9"/>
  <c r="O74" i="9" s="1"/>
  <c r="AB73" i="9"/>
  <c r="AC73" i="9" s="1"/>
  <c r="Z73" i="9"/>
  <c r="AA73" i="9" s="1"/>
  <c r="X73" i="9"/>
  <c r="Y73" i="9" s="1"/>
  <c r="V73" i="9"/>
  <c r="W73" i="9" s="1"/>
  <c r="T73" i="9"/>
  <c r="U73" i="9" s="1"/>
  <c r="R73" i="9"/>
  <c r="S73" i="9" s="1"/>
  <c r="P73" i="9"/>
  <c r="Q73" i="9" s="1"/>
  <c r="N73" i="9"/>
  <c r="O73" i="9" s="1"/>
  <c r="AB72" i="9"/>
  <c r="AC72" i="9" s="1"/>
  <c r="Z72" i="9"/>
  <c r="AA72" i="9" s="1"/>
  <c r="X72" i="9"/>
  <c r="Y72" i="9" s="1"/>
  <c r="V72" i="9"/>
  <c r="W72" i="9" s="1"/>
  <c r="T72" i="9"/>
  <c r="U72" i="9" s="1"/>
  <c r="R72" i="9"/>
  <c r="S72" i="9" s="1"/>
  <c r="P72" i="9"/>
  <c r="Q72" i="9" s="1"/>
  <c r="N72" i="9"/>
  <c r="O72" i="9" s="1"/>
  <c r="AB71" i="9"/>
  <c r="AC71" i="9" s="1"/>
  <c r="Z71" i="9"/>
  <c r="AA71" i="9" s="1"/>
  <c r="X71" i="9"/>
  <c r="Y71" i="9" s="1"/>
  <c r="V71" i="9"/>
  <c r="W71" i="9" s="1"/>
  <c r="T71" i="9"/>
  <c r="U71" i="9" s="1"/>
  <c r="R71" i="9"/>
  <c r="S71" i="9" s="1"/>
  <c r="P71" i="9"/>
  <c r="Q71" i="9" s="1"/>
  <c r="N71" i="9"/>
  <c r="O71" i="9" s="1"/>
  <c r="AB70" i="9"/>
  <c r="AC70" i="9" s="1"/>
  <c r="Z70" i="9"/>
  <c r="AA70" i="9" s="1"/>
  <c r="X70" i="9"/>
  <c r="Y70" i="9" s="1"/>
  <c r="V70" i="9"/>
  <c r="W70" i="9" s="1"/>
  <c r="T70" i="9"/>
  <c r="U70" i="9" s="1"/>
  <c r="R70" i="9"/>
  <c r="S70" i="9" s="1"/>
  <c r="P70" i="9"/>
  <c r="Q70" i="9" s="1"/>
  <c r="N70" i="9"/>
  <c r="O70" i="9" s="1"/>
  <c r="AB67" i="9"/>
  <c r="AC67" i="9" s="1"/>
  <c r="Z67" i="9"/>
  <c r="AA67" i="9" s="1"/>
  <c r="X67" i="9"/>
  <c r="Y67" i="9" s="1"/>
  <c r="V67" i="9"/>
  <c r="W67" i="9" s="1"/>
  <c r="T67" i="9"/>
  <c r="U67" i="9" s="1"/>
  <c r="R67" i="9"/>
  <c r="S67" i="9" s="1"/>
  <c r="P67" i="9"/>
  <c r="Q67" i="9" s="1"/>
  <c r="N67" i="9"/>
  <c r="O67" i="9" s="1"/>
  <c r="AB66" i="9"/>
  <c r="AC66" i="9" s="1"/>
  <c r="Z66" i="9"/>
  <c r="AA66" i="9" s="1"/>
  <c r="X66" i="9"/>
  <c r="Y66" i="9" s="1"/>
  <c r="V66" i="9"/>
  <c r="W66" i="9" s="1"/>
  <c r="T66" i="9"/>
  <c r="U66" i="9" s="1"/>
  <c r="R66" i="9"/>
  <c r="S66" i="9" s="1"/>
  <c r="P66" i="9"/>
  <c r="Q66" i="9" s="1"/>
  <c r="N66" i="9"/>
  <c r="O66" i="9" s="1"/>
  <c r="AB65" i="9"/>
  <c r="AC65" i="9" s="1"/>
  <c r="Z65" i="9"/>
  <c r="AA65" i="9" s="1"/>
  <c r="X65" i="9"/>
  <c r="Y65" i="9" s="1"/>
  <c r="V65" i="9"/>
  <c r="W65" i="9" s="1"/>
  <c r="T65" i="9"/>
  <c r="U65" i="9" s="1"/>
  <c r="R65" i="9"/>
  <c r="S65" i="9" s="1"/>
  <c r="P65" i="9"/>
  <c r="Q65" i="9" s="1"/>
  <c r="N65" i="9"/>
  <c r="O65" i="9" s="1"/>
  <c r="AB64" i="9"/>
  <c r="AC64" i="9" s="1"/>
  <c r="Z64" i="9"/>
  <c r="AA64" i="9" s="1"/>
  <c r="X64" i="9"/>
  <c r="Y64" i="9" s="1"/>
  <c r="V64" i="9"/>
  <c r="W64" i="9" s="1"/>
  <c r="T64" i="9"/>
  <c r="U64" i="9" s="1"/>
  <c r="R64" i="9"/>
  <c r="S64" i="9" s="1"/>
  <c r="P64" i="9"/>
  <c r="Q64" i="9" s="1"/>
  <c r="N64" i="9"/>
  <c r="O64" i="9" s="1"/>
  <c r="AB63" i="9"/>
  <c r="AC63" i="9" s="1"/>
  <c r="Z63" i="9"/>
  <c r="AA63" i="9" s="1"/>
  <c r="X63" i="9"/>
  <c r="Y63" i="9" s="1"/>
  <c r="V63" i="9"/>
  <c r="W63" i="9" s="1"/>
  <c r="T63" i="9"/>
  <c r="U63" i="9" s="1"/>
  <c r="R63" i="9"/>
  <c r="S63" i="9" s="1"/>
  <c r="P63" i="9"/>
  <c r="Q63" i="9" s="1"/>
  <c r="N63" i="9"/>
  <c r="O63" i="9" s="1"/>
  <c r="AB62" i="9"/>
  <c r="AC62" i="9" s="1"/>
  <c r="Z62" i="9"/>
  <c r="AA62" i="9" s="1"/>
  <c r="X62" i="9"/>
  <c r="Y62" i="9" s="1"/>
  <c r="V62" i="9"/>
  <c r="W62" i="9" s="1"/>
  <c r="T62" i="9"/>
  <c r="U62" i="9" s="1"/>
  <c r="R62" i="9"/>
  <c r="S62" i="9" s="1"/>
  <c r="P62" i="9"/>
  <c r="Q62" i="9" s="1"/>
  <c r="N62" i="9"/>
  <c r="O62" i="9" s="1"/>
  <c r="AB60" i="9"/>
  <c r="AC60" i="9" s="1"/>
  <c r="Z60" i="9"/>
  <c r="AA60" i="9" s="1"/>
  <c r="X60" i="9"/>
  <c r="Y60" i="9" s="1"/>
  <c r="V60" i="9"/>
  <c r="W60" i="9" s="1"/>
  <c r="T60" i="9"/>
  <c r="U60" i="9" s="1"/>
  <c r="R60" i="9"/>
  <c r="S60" i="9" s="1"/>
  <c r="P60" i="9"/>
  <c r="Q60" i="9" s="1"/>
  <c r="N60" i="9"/>
  <c r="O60" i="9" s="1"/>
  <c r="AB59" i="9"/>
  <c r="AC59" i="9" s="1"/>
  <c r="Z59" i="9"/>
  <c r="AA59" i="9" s="1"/>
  <c r="X59" i="9"/>
  <c r="Y59" i="9" s="1"/>
  <c r="V59" i="9"/>
  <c r="W59" i="9" s="1"/>
  <c r="T59" i="9"/>
  <c r="U59" i="9" s="1"/>
  <c r="R59" i="9"/>
  <c r="S59" i="9" s="1"/>
  <c r="P59" i="9"/>
  <c r="Q59" i="9" s="1"/>
  <c r="N59" i="9"/>
  <c r="O59" i="9" s="1"/>
  <c r="AB58" i="9"/>
  <c r="AC58" i="9" s="1"/>
  <c r="Z58" i="9"/>
  <c r="AA58" i="9" s="1"/>
  <c r="X58" i="9"/>
  <c r="Y58" i="9" s="1"/>
  <c r="V58" i="9"/>
  <c r="W58" i="9" s="1"/>
  <c r="T58" i="9"/>
  <c r="U58" i="9" s="1"/>
  <c r="R58" i="9"/>
  <c r="S58" i="9" s="1"/>
  <c r="P58" i="9"/>
  <c r="Q58" i="9" s="1"/>
  <c r="N58" i="9"/>
  <c r="O58" i="9" s="1"/>
  <c r="AB57" i="9"/>
  <c r="AC57" i="9" s="1"/>
  <c r="Z57" i="9"/>
  <c r="AA57" i="9" s="1"/>
  <c r="X57" i="9"/>
  <c r="Y57" i="9" s="1"/>
  <c r="V57" i="9"/>
  <c r="W57" i="9" s="1"/>
  <c r="T57" i="9"/>
  <c r="U57" i="9" s="1"/>
  <c r="R57" i="9"/>
  <c r="S57" i="9" s="1"/>
  <c r="P57" i="9"/>
  <c r="Q57" i="9" s="1"/>
  <c r="N57" i="9"/>
  <c r="O57" i="9" s="1"/>
  <c r="AB52" i="9"/>
  <c r="AC52" i="9" s="1"/>
  <c r="Z52" i="9"/>
  <c r="AA52" i="9" s="1"/>
  <c r="X52" i="9"/>
  <c r="Y52" i="9" s="1"/>
  <c r="V52" i="9"/>
  <c r="W52" i="9" s="1"/>
  <c r="T52" i="9"/>
  <c r="U52" i="9" s="1"/>
  <c r="R52" i="9"/>
  <c r="S52" i="9" s="1"/>
  <c r="P52" i="9"/>
  <c r="Q52" i="9" s="1"/>
  <c r="N52" i="9"/>
  <c r="O52" i="9" s="1"/>
  <c r="AB51" i="9"/>
  <c r="AC51" i="9" s="1"/>
  <c r="Z51" i="9"/>
  <c r="AA51" i="9" s="1"/>
  <c r="X51" i="9"/>
  <c r="Y51" i="9" s="1"/>
  <c r="V51" i="9"/>
  <c r="W51" i="9" s="1"/>
  <c r="T51" i="9"/>
  <c r="U51" i="9" s="1"/>
  <c r="R51" i="9"/>
  <c r="S51" i="9" s="1"/>
  <c r="P51" i="9"/>
  <c r="Q51" i="9" s="1"/>
  <c r="N51" i="9"/>
  <c r="O51" i="9" s="1"/>
  <c r="AB50" i="9"/>
  <c r="AC50" i="9" s="1"/>
  <c r="Z50" i="9"/>
  <c r="AA50" i="9" s="1"/>
  <c r="X50" i="9"/>
  <c r="Y50" i="9" s="1"/>
  <c r="V50" i="9"/>
  <c r="W50" i="9" s="1"/>
  <c r="T50" i="9"/>
  <c r="U50" i="9" s="1"/>
  <c r="R50" i="9"/>
  <c r="S50" i="9" s="1"/>
  <c r="P50" i="9"/>
  <c r="Q50" i="9" s="1"/>
  <c r="N50" i="9"/>
  <c r="O50" i="9" s="1"/>
  <c r="AB49" i="9"/>
  <c r="AC49" i="9" s="1"/>
  <c r="Z49" i="9"/>
  <c r="AA49" i="9" s="1"/>
  <c r="X49" i="9"/>
  <c r="Y49" i="9" s="1"/>
  <c r="V49" i="9"/>
  <c r="W49" i="9" s="1"/>
  <c r="T49" i="9"/>
  <c r="U49" i="9" s="1"/>
  <c r="R49" i="9"/>
  <c r="S49" i="9" s="1"/>
  <c r="P49" i="9"/>
  <c r="Q49" i="9" s="1"/>
  <c r="N49" i="9"/>
  <c r="O49" i="9" s="1"/>
  <c r="AB48" i="9"/>
  <c r="AC48" i="9" s="1"/>
  <c r="Z48" i="9"/>
  <c r="AA48" i="9" s="1"/>
  <c r="X48" i="9"/>
  <c r="Y48" i="9" s="1"/>
  <c r="V48" i="9"/>
  <c r="W48" i="9" s="1"/>
  <c r="T48" i="9"/>
  <c r="U48" i="9" s="1"/>
  <c r="R48" i="9"/>
  <c r="S48" i="9" s="1"/>
  <c r="P48" i="9"/>
  <c r="Q48" i="9" s="1"/>
  <c r="N48" i="9"/>
  <c r="O48" i="9" s="1"/>
  <c r="AB47" i="9"/>
  <c r="AC47" i="9" s="1"/>
  <c r="Z47" i="9"/>
  <c r="AA47" i="9" s="1"/>
  <c r="X47" i="9"/>
  <c r="Y47" i="9" s="1"/>
  <c r="V47" i="9"/>
  <c r="W47" i="9" s="1"/>
  <c r="T47" i="9"/>
  <c r="U47" i="9" s="1"/>
  <c r="R47" i="9"/>
  <c r="S47" i="9" s="1"/>
  <c r="P47" i="9"/>
  <c r="Q47" i="9" s="1"/>
  <c r="N47" i="9"/>
  <c r="O47" i="9" s="1"/>
  <c r="AB44" i="9"/>
  <c r="AC44" i="9" s="1"/>
  <c r="Z44" i="9"/>
  <c r="AA44" i="9" s="1"/>
  <c r="X44" i="9"/>
  <c r="Y44" i="9" s="1"/>
  <c r="V44" i="9"/>
  <c r="W44" i="9" s="1"/>
  <c r="T44" i="9"/>
  <c r="U44" i="9" s="1"/>
  <c r="R44" i="9"/>
  <c r="S44" i="9" s="1"/>
  <c r="P44" i="9"/>
  <c r="Q44" i="9" s="1"/>
  <c r="N44" i="9"/>
  <c r="O44" i="9" s="1"/>
  <c r="AB43" i="9"/>
  <c r="AC43" i="9" s="1"/>
  <c r="Z43" i="9"/>
  <c r="AA43" i="9" s="1"/>
  <c r="X43" i="9"/>
  <c r="Y43" i="9" s="1"/>
  <c r="V43" i="9"/>
  <c r="W43" i="9" s="1"/>
  <c r="T43" i="9"/>
  <c r="U43" i="9" s="1"/>
  <c r="R43" i="9"/>
  <c r="S43" i="9" s="1"/>
  <c r="P43" i="9"/>
  <c r="Q43" i="9" s="1"/>
  <c r="N43" i="9"/>
  <c r="O43" i="9" s="1"/>
  <c r="AB41" i="9"/>
  <c r="AC41" i="9" s="1"/>
  <c r="Z41" i="9"/>
  <c r="AA41" i="9" s="1"/>
  <c r="X41" i="9"/>
  <c r="Y41" i="9" s="1"/>
  <c r="V41" i="9"/>
  <c r="W41" i="9" s="1"/>
  <c r="T41" i="9"/>
  <c r="U41" i="9" s="1"/>
  <c r="R41" i="9"/>
  <c r="S41" i="9" s="1"/>
  <c r="P41" i="9"/>
  <c r="Q41" i="9" s="1"/>
  <c r="N41" i="9"/>
  <c r="O41" i="9" s="1"/>
  <c r="AB40" i="9"/>
  <c r="AC40" i="9" s="1"/>
  <c r="Z40" i="9"/>
  <c r="AA40" i="9" s="1"/>
  <c r="X40" i="9"/>
  <c r="Y40" i="9" s="1"/>
  <c r="V40" i="9"/>
  <c r="W40" i="9" s="1"/>
  <c r="T40" i="9"/>
  <c r="U40" i="9" s="1"/>
  <c r="R40" i="9"/>
  <c r="S40" i="9" s="1"/>
  <c r="P40" i="9"/>
  <c r="Q40" i="9" s="1"/>
  <c r="N40" i="9"/>
  <c r="O40" i="9" s="1"/>
  <c r="AB39" i="9"/>
  <c r="AC39" i="9" s="1"/>
  <c r="Z39" i="9"/>
  <c r="AA39" i="9" s="1"/>
  <c r="X39" i="9"/>
  <c r="Y39" i="9" s="1"/>
  <c r="V39" i="9"/>
  <c r="W39" i="9" s="1"/>
  <c r="T39" i="9"/>
  <c r="U39" i="9" s="1"/>
  <c r="R39" i="9"/>
  <c r="S39" i="9" s="1"/>
  <c r="P39" i="9"/>
  <c r="Q39" i="9" s="1"/>
  <c r="N39" i="9"/>
  <c r="O39" i="9" s="1"/>
  <c r="AB38" i="9"/>
  <c r="AC38" i="9" s="1"/>
  <c r="Z38" i="9"/>
  <c r="AA38" i="9" s="1"/>
  <c r="X38" i="9"/>
  <c r="Y38" i="9" s="1"/>
  <c r="V38" i="9"/>
  <c r="W38" i="9" s="1"/>
  <c r="T38" i="9"/>
  <c r="U38" i="9" s="1"/>
  <c r="R38" i="9"/>
  <c r="S38" i="9" s="1"/>
  <c r="P38" i="9"/>
  <c r="Q38" i="9" s="1"/>
  <c r="N38" i="9"/>
  <c r="O38" i="9" s="1"/>
  <c r="AB36" i="9"/>
  <c r="AC36" i="9" s="1"/>
  <c r="Z36" i="9"/>
  <c r="AA36" i="9" s="1"/>
  <c r="X36" i="9"/>
  <c r="Y36" i="9" s="1"/>
  <c r="V36" i="9"/>
  <c r="W36" i="9" s="1"/>
  <c r="T36" i="9"/>
  <c r="U36" i="9" s="1"/>
  <c r="R36" i="9"/>
  <c r="S36" i="9" s="1"/>
  <c r="P36" i="9"/>
  <c r="Q36" i="9" s="1"/>
  <c r="N36" i="9"/>
  <c r="O36" i="9" s="1"/>
  <c r="AB35" i="9"/>
  <c r="AC35" i="9" s="1"/>
  <c r="Z35" i="9"/>
  <c r="AA35" i="9" s="1"/>
  <c r="X35" i="9"/>
  <c r="Y35" i="9" s="1"/>
  <c r="V35" i="9"/>
  <c r="W35" i="9" s="1"/>
  <c r="T35" i="9"/>
  <c r="U35" i="9" s="1"/>
  <c r="R35" i="9"/>
  <c r="S35" i="9" s="1"/>
  <c r="P35" i="9"/>
  <c r="Q35" i="9" s="1"/>
  <c r="N35" i="9"/>
  <c r="O35" i="9" s="1"/>
  <c r="AB34" i="9"/>
  <c r="AC34" i="9" s="1"/>
  <c r="Z34" i="9"/>
  <c r="AA34" i="9" s="1"/>
  <c r="X34" i="9"/>
  <c r="Y34" i="9" s="1"/>
  <c r="V34" i="9"/>
  <c r="W34" i="9" s="1"/>
  <c r="T34" i="9"/>
  <c r="U34" i="9" s="1"/>
  <c r="R34" i="9"/>
  <c r="S34" i="9" s="1"/>
  <c r="P34" i="9"/>
  <c r="Q34" i="9" s="1"/>
  <c r="N34" i="9"/>
  <c r="O34" i="9" s="1"/>
  <c r="AB33" i="9"/>
  <c r="AC33" i="9" s="1"/>
  <c r="Z33" i="9"/>
  <c r="AA33" i="9" s="1"/>
  <c r="X33" i="9"/>
  <c r="Y33" i="9" s="1"/>
  <c r="V33" i="9"/>
  <c r="W33" i="9" s="1"/>
  <c r="T33" i="9"/>
  <c r="U33" i="9" s="1"/>
  <c r="R33" i="9"/>
  <c r="S33" i="9" s="1"/>
  <c r="P33" i="9"/>
  <c r="Q33" i="9" s="1"/>
  <c r="N33" i="9"/>
  <c r="O33" i="9" s="1"/>
  <c r="AB32" i="9"/>
  <c r="AC32" i="9" s="1"/>
  <c r="Z32" i="9"/>
  <c r="AA32" i="9" s="1"/>
  <c r="X32" i="9"/>
  <c r="Y32" i="9" s="1"/>
  <c r="V32" i="9"/>
  <c r="W32" i="9" s="1"/>
  <c r="T32" i="9"/>
  <c r="U32" i="9" s="1"/>
  <c r="P32" i="9"/>
  <c r="Q32" i="9" s="1"/>
  <c r="N32" i="9"/>
  <c r="O32" i="9" s="1"/>
  <c r="AB31" i="9"/>
  <c r="AC31" i="9" s="1"/>
  <c r="Z31" i="9"/>
  <c r="AA31" i="9" s="1"/>
  <c r="X31" i="9"/>
  <c r="Y31" i="9" s="1"/>
  <c r="V31" i="9"/>
  <c r="W31" i="9" s="1"/>
  <c r="T31" i="9"/>
  <c r="U31" i="9" s="1"/>
  <c r="R31" i="9"/>
  <c r="S31" i="9" s="1"/>
  <c r="P31" i="9"/>
  <c r="Q31" i="9" s="1"/>
  <c r="N31" i="9"/>
  <c r="O31" i="9" s="1"/>
  <c r="P30" i="9"/>
  <c r="Q30" i="9" s="1"/>
  <c r="N30" i="9"/>
  <c r="O30" i="9" s="1"/>
  <c r="AB27" i="9"/>
  <c r="AC27" i="9" s="1"/>
  <c r="Z27" i="9"/>
  <c r="AA27" i="9" s="1"/>
  <c r="X27" i="9"/>
  <c r="Y27" i="9" s="1"/>
  <c r="V27" i="9"/>
  <c r="W27" i="9" s="1"/>
  <c r="T27" i="9"/>
  <c r="U27" i="9" s="1"/>
  <c r="R27" i="9"/>
  <c r="S27" i="9" s="1"/>
  <c r="P27" i="9"/>
  <c r="Q27" i="9" s="1"/>
  <c r="N27" i="9"/>
  <c r="O27" i="9" s="1"/>
  <c r="AB26" i="9"/>
  <c r="AC26" i="9" s="1"/>
  <c r="Z26" i="9"/>
  <c r="AA26" i="9" s="1"/>
  <c r="X26" i="9"/>
  <c r="Y26" i="9" s="1"/>
  <c r="V26" i="9"/>
  <c r="W26" i="9" s="1"/>
  <c r="T26" i="9"/>
  <c r="U26" i="9" s="1"/>
  <c r="R26" i="9"/>
  <c r="S26" i="9" s="1"/>
  <c r="P26" i="9"/>
  <c r="Q26" i="9" s="1"/>
  <c r="N26" i="9"/>
  <c r="O26" i="9" s="1"/>
  <c r="AB24" i="9"/>
  <c r="AC24" i="9" s="1"/>
  <c r="Z24" i="9"/>
  <c r="AA24" i="9" s="1"/>
  <c r="X24" i="9"/>
  <c r="Y24" i="9" s="1"/>
  <c r="V24" i="9"/>
  <c r="W24" i="9" s="1"/>
  <c r="T24" i="9"/>
  <c r="U24" i="9" s="1"/>
  <c r="R24" i="9"/>
  <c r="S24" i="9" s="1"/>
  <c r="P24" i="9"/>
  <c r="Q24" i="9" s="1"/>
  <c r="N24" i="9"/>
  <c r="O24" i="9" s="1"/>
  <c r="AB23" i="9"/>
  <c r="AC23" i="9" s="1"/>
  <c r="Z23" i="9"/>
  <c r="AA23" i="9" s="1"/>
  <c r="X23" i="9"/>
  <c r="Y23" i="9" s="1"/>
  <c r="V23" i="9"/>
  <c r="W23" i="9" s="1"/>
  <c r="T23" i="9"/>
  <c r="U23" i="9" s="1"/>
  <c r="R23" i="9"/>
  <c r="S23" i="9" s="1"/>
  <c r="P23" i="9"/>
  <c r="Q23" i="9" s="1"/>
  <c r="N23" i="9"/>
  <c r="O23" i="9" s="1"/>
  <c r="AB22" i="9"/>
  <c r="AC22" i="9" s="1"/>
  <c r="Z22" i="9"/>
  <c r="AA22" i="9" s="1"/>
  <c r="X22" i="9"/>
  <c r="Y22" i="9" s="1"/>
  <c r="V22" i="9"/>
  <c r="W22" i="9" s="1"/>
  <c r="T22" i="9"/>
  <c r="U22" i="9" s="1"/>
  <c r="R22" i="9"/>
  <c r="S22" i="9" s="1"/>
  <c r="P22" i="9"/>
  <c r="Q22" i="9" s="1"/>
  <c r="N22" i="9"/>
  <c r="O22" i="9" s="1"/>
  <c r="AB21" i="9"/>
  <c r="AC21" i="9" s="1"/>
  <c r="Z21" i="9"/>
  <c r="AA21" i="9" s="1"/>
  <c r="X21" i="9"/>
  <c r="Y21" i="9" s="1"/>
  <c r="V21" i="9"/>
  <c r="W21" i="9" s="1"/>
  <c r="T21" i="9"/>
  <c r="U21" i="9" s="1"/>
  <c r="R21" i="9"/>
  <c r="S21" i="9" s="1"/>
  <c r="P21" i="9"/>
  <c r="Q21" i="9" s="1"/>
  <c r="N21" i="9"/>
  <c r="O21" i="9" s="1"/>
  <c r="AB20" i="9"/>
  <c r="AC20" i="9" s="1"/>
  <c r="X20" i="9"/>
  <c r="Y20" i="9" s="1"/>
  <c r="V20" i="9"/>
  <c r="W20" i="9" s="1"/>
  <c r="T20" i="9"/>
  <c r="U20" i="9" s="1"/>
  <c r="R20" i="9"/>
  <c r="S20" i="9" s="1"/>
  <c r="P20" i="9"/>
  <c r="Q20" i="9" s="1"/>
  <c r="N20" i="9"/>
  <c r="O20" i="9" s="1"/>
  <c r="AB19" i="9"/>
  <c r="AC19" i="9" s="1"/>
  <c r="Z19" i="9"/>
  <c r="AA19" i="9" s="1"/>
  <c r="X19" i="9"/>
  <c r="Y19" i="9" s="1"/>
  <c r="V19" i="9"/>
  <c r="W19" i="9" s="1"/>
  <c r="T19" i="9"/>
  <c r="U19" i="9" s="1"/>
  <c r="R19" i="9"/>
  <c r="S19" i="9" s="1"/>
  <c r="P19" i="9"/>
  <c r="Q19" i="9" s="1"/>
  <c r="N19" i="9"/>
  <c r="O19" i="9" s="1"/>
  <c r="AB18" i="9"/>
  <c r="AC18" i="9" s="1"/>
  <c r="Z18" i="9"/>
  <c r="AA18" i="9" s="1"/>
  <c r="X18" i="9"/>
  <c r="Y18" i="9" s="1"/>
  <c r="V18" i="9"/>
  <c r="W18" i="9" s="1"/>
  <c r="T18" i="9"/>
  <c r="U18" i="9" s="1"/>
  <c r="R18" i="9"/>
  <c r="S18" i="9" s="1"/>
  <c r="P18" i="9"/>
  <c r="Q18" i="9" s="1"/>
  <c r="N18" i="9"/>
  <c r="O18" i="9" s="1"/>
  <c r="AB17" i="9"/>
  <c r="AC17" i="9" s="1"/>
  <c r="X17" i="9"/>
  <c r="Y17" i="9" s="1"/>
  <c r="V17" i="9"/>
  <c r="W17" i="9" s="1"/>
  <c r="T17" i="9"/>
  <c r="U17" i="9" s="1"/>
  <c r="R17" i="9"/>
  <c r="S17" i="9" s="1"/>
  <c r="P17" i="9"/>
  <c r="Q17" i="9" s="1"/>
  <c r="N17" i="9"/>
  <c r="O17" i="9" s="1"/>
  <c r="AB14" i="9"/>
  <c r="AC14" i="9" s="1"/>
  <c r="Z14" i="9"/>
  <c r="AA14" i="9" s="1"/>
  <c r="V14" i="9"/>
  <c r="W14" i="9" s="1"/>
  <c r="P14" i="9"/>
  <c r="Q14" i="9" s="1"/>
  <c r="N14" i="9"/>
  <c r="O14" i="9" s="1"/>
  <c r="AB13" i="9"/>
  <c r="AC13" i="9" s="1"/>
  <c r="Z13" i="9"/>
  <c r="AA13" i="9" s="1"/>
  <c r="X13" i="9"/>
  <c r="Y13" i="9" s="1"/>
  <c r="V13" i="9"/>
  <c r="W13" i="9" s="1"/>
  <c r="T13" i="9"/>
  <c r="U13" i="9" s="1"/>
  <c r="R13" i="9"/>
  <c r="S13" i="9" s="1"/>
  <c r="P13" i="9"/>
  <c r="Q13" i="9" s="1"/>
  <c r="N13" i="9"/>
  <c r="O13" i="9" s="1"/>
  <c r="AB11" i="9"/>
  <c r="AC11" i="9" s="1"/>
  <c r="Z11" i="9"/>
  <c r="AA11" i="9" s="1"/>
  <c r="X11" i="9"/>
  <c r="Y11" i="9" s="1"/>
  <c r="V11" i="9"/>
  <c r="W11" i="9" s="1"/>
  <c r="T11" i="9"/>
  <c r="U11" i="9" s="1"/>
  <c r="R11" i="9"/>
  <c r="S11" i="9" s="1"/>
  <c r="P11" i="9"/>
  <c r="Q11" i="9" s="1"/>
  <c r="N11" i="9"/>
  <c r="O11" i="9" s="1"/>
  <c r="AB10" i="9"/>
  <c r="AC10" i="9" s="1"/>
  <c r="Z10" i="9"/>
  <c r="AA10" i="9" s="1"/>
  <c r="X10" i="9"/>
  <c r="Y10" i="9" s="1"/>
  <c r="V10" i="9"/>
  <c r="W10" i="9" s="1"/>
  <c r="T10" i="9"/>
  <c r="U10" i="9" s="1"/>
  <c r="R10" i="9"/>
  <c r="S10" i="9" s="1"/>
  <c r="P10" i="9"/>
  <c r="Q10" i="9" s="1"/>
  <c r="N10" i="9"/>
  <c r="O10" i="9" s="1"/>
  <c r="AB9" i="9"/>
  <c r="AC9" i="9" s="1"/>
  <c r="Z9" i="9"/>
  <c r="AA9" i="9" s="1"/>
  <c r="X9" i="9"/>
  <c r="Y9" i="9" s="1"/>
  <c r="V9" i="9"/>
  <c r="W9" i="9" s="1"/>
  <c r="T9" i="9"/>
  <c r="U9" i="9" s="1"/>
  <c r="R9" i="9"/>
  <c r="S9" i="9" s="1"/>
  <c r="P9" i="9"/>
  <c r="Q9" i="9" s="1"/>
  <c r="N9" i="9"/>
  <c r="O9" i="9" s="1"/>
  <c r="AB8" i="9"/>
  <c r="AC8" i="9" s="1"/>
  <c r="Z8" i="9"/>
  <c r="AA8" i="9" s="1"/>
  <c r="X8" i="9"/>
  <c r="Y8" i="9" s="1"/>
  <c r="V8" i="9"/>
  <c r="W8" i="9" s="1"/>
  <c r="T8" i="9"/>
  <c r="U8" i="9" s="1"/>
  <c r="R8" i="9"/>
  <c r="S8" i="9" s="1"/>
  <c r="P8" i="9"/>
  <c r="Q8" i="9" s="1"/>
  <c r="N8" i="9"/>
  <c r="O8" i="9" s="1"/>
  <c r="AD30" i="9" l="1"/>
  <c r="AE30" i="9" s="1"/>
  <c r="AF30" i="9" s="1"/>
  <c r="AD98" i="9"/>
  <c r="AE98" i="9" s="1"/>
  <c r="AF98" i="9" s="1"/>
  <c r="AD23" i="9"/>
  <c r="AE23" i="9" s="1"/>
  <c r="AF23" i="9" s="1"/>
  <c r="AD24" i="9"/>
  <c r="AE24" i="9" s="1"/>
  <c r="AF24" i="9" s="1"/>
  <c r="AD26" i="9"/>
  <c r="AE26" i="9" s="1"/>
  <c r="AF26" i="9" s="1"/>
  <c r="AD27" i="9"/>
  <c r="AE27" i="9" s="1"/>
  <c r="AF27" i="9" s="1"/>
  <c r="AD31" i="9"/>
  <c r="AE31" i="9" s="1"/>
  <c r="AF31" i="9" s="1"/>
  <c r="AD32" i="9"/>
  <c r="AE32" i="9" s="1"/>
  <c r="AF32" i="9" s="1"/>
  <c r="AD33" i="9"/>
  <c r="AE33" i="9" s="1"/>
  <c r="AF33" i="9" s="1"/>
  <c r="AD34" i="9"/>
  <c r="AE34" i="9" s="1"/>
  <c r="AF34" i="9" s="1"/>
  <c r="AD35" i="9"/>
  <c r="AE35" i="9" s="1"/>
  <c r="AF35" i="9" s="1"/>
  <c r="AD36" i="9"/>
  <c r="AE36" i="9" s="1"/>
  <c r="AF36" i="9" s="1"/>
  <c r="AD38" i="9"/>
  <c r="AE38" i="9" s="1"/>
  <c r="AF38" i="9" s="1"/>
  <c r="AD39" i="9"/>
  <c r="AE39" i="9" s="1"/>
  <c r="AF39" i="9" s="1"/>
  <c r="AD40" i="9"/>
  <c r="AE40" i="9" s="1"/>
  <c r="AF40" i="9" s="1"/>
  <c r="AD41" i="9"/>
  <c r="AE41" i="9" s="1"/>
  <c r="AF41" i="9" s="1"/>
  <c r="AD43" i="9"/>
  <c r="AE43" i="9" s="1"/>
  <c r="AF43" i="9" s="1"/>
  <c r="AD44" i="9"/>
  <c r="AE44" i="9" s="1"/>
  <c r="AF44" i="9" s="1"/>
  <c r="AD47" i="9"/>
  <c r="AE47" i="9" s="1"/>
  <c r="AF47" i="9" s="1"/>
  <c r="AD48" i="9"/>
  <c r="AE48" i="9" s="1"/>
  <c r="AF48" i="9" s="1"/>
  <c r="AD49" i="9"/>
  <c r="AE49" i="9" s="1"/>
  <c r="AF49" i="9" s="1"/>
  <c r="AD50" i="9"/>
  <c r="AE50" i="9" s="1"/>
  <c r="AF50" i="9" s="1"/>
  <c r="AD51" i="9"/>
  <c r="AE51" i="9" s="1"/>
  <c r="AF51" i="9" s="1"/>
  <c r="AD52" i="9"/>
  <c r="AE52" i="9" s="1"/>
  <c r="AF52" i="9" s="1"/>
  <c r="AD57" i="9"/>
  <c r="AE57" i="9" s="1"/>
  <c r="AF57" i="9" s="1"/>
  <c r="AD58" i="9"/>
  <c r="AE58" i="9" s="1"/>
  <c r="AF58" i="9" s="1"/>
  <c r="AD59" i="9"/>
  <c r="AE59" i="9" s="1"/>
  <c r="AF59" i="9" s="1"/>
  <c r="AD60" i="9"/>
  <c r="AE60" i="9" s="1"/>
  <c r="AF60" i="9" s="1"/>
  <c r="AD62" i="9"/>
  <c r="AE62" i="9" s="1"/>
  <c r="AF62" i="9" s="1"/>
  <c r="AD63" i="9"/>
  <c r="AE63" i="9" s="1"/>
  <c r="AF63" i="9" s="1"/>
  <c r="AD64" i="9"/>
  <c r="AE64" i="9" s="1"/>
  <c r="AF64" i="9" s="1"/>
  <c r="AD65" i="9"/>
  <c r="AE65" i="9" s="1"/>
  <c r="AF65" i="9" s="1"/>
  <c r="AD66" i="9"/>
  <c r="AE66" i="9" s="1"/>
  <c r="AF66" i="9" s="1"/>
  <c r="AD67" i="9"/>
  <c r="AE67" i="9" s="1"/>
  <c r="AF67" i="9" s="1"/>
  <c r="AD70" i="9"/>
  <c r="AE70" i="9" s="1"/>
  <c r="AF70" i="9" s="1"/>
  <c r="AD71" i="9"/>
  <c r="AE71" i="9" s="1"/>
  <c r="AF71" i="9" s="1"/>
  <c r="AD72" i="9"/>
  <c r="AE72" i="9" s="1"/>
  <c r="AF72" i="9" s="1"/>
  <c r="AD73" i="9"/>
  <c r="AE73" i="9" s="1"/>
  <c r="AF73" i="9" s="1"/>
  <c r="AD74" i="9"/>
  <c r="AE74" i="9" s="1"/>
  <c r="AF74" i="9" s="1"/>
  <c r="AD75" i="9"/>
  <c r="AE75" i="9" s="1"/>
  <c r="AF75" i="9" s="1"/>
  <c r="AD76" i="9"/>
  <c r="AE76" i="9" s="1"/>
  <c r="AF76" i="9" s="1"/>
  <c r="AD77" i="9"/>
  <c r="AE77" i="9" s="1"/>
  <c r="AF77" i="9" s="1"/>
  <c r="AD79" i="9"/>
  <c r="AE79" i="9" s="1"/>
  <c r="AF79" i="9" s="1"/>
  <c r="AD80" i="9"/>
  <c r="AE80" i="9" s="1"/>
  <c r="AF80" i="9" s="1"/>
  <c r="AD82" i="9"/>
  <c r="AE82" i="9" s="1"/>
  <c r="AF82" i="9" s="1"/>
  <c r="AD84" i="9"/>
  <c r="AE84" i="9" s="1"/>
  <c r="AF84" i="9" s="1"/>
  <c r="AD87" i="9"/>
  <c r="AE87" i="9" s="1"/>
  <c r="AF87" i="9" s="1"/>
  <c r="AD88" i="9"/>
  <c r="AE88" i="9" s="1"/>
  <c r="AF88" i="9" s="1"/>
  <c r="AD89" i="9"/>
  <c r="AE89" i="9" s="1"/>
  <c r="AF89" i="9" s="1"/>
  <c r="AD90" i="9"/>
  <c r="AE90" i="9" s="1"/>
  <c r="AF90" i="9" s="1"/>
  <c r="AD91" i="9"/>
  <c r="AE91" i="9" s="1"/>
  <c r="AF91" i="9" s="1"/>
  <c r="AD92" i="9"/>
  <c r="AE92" i="9" s="1"/>
  <c r="AF92" i="9" s="1"/>
  <c r="AD95" i="9"/>
  <c r="AE95" i="9" s="1"/>
  <c r="AF95" i="9" s="1"/>
  <c r="AD22" i="9"/>
  <c r="AE22" i="9" s="1"/>
  <c r="AF22" i="9" s="1"/>
  <c r="AD96" i="9"/>
  <c r="AE96" i="9" s="1"/>
  <c r="AF96" i="9" s="1"/>
  <c r="AD17" i="9"/>
  <c r="AE17" i="9" s="1"/>
  <c r="AF17" i="9" s="1"/>
  <c r="AD19" i="9"/>
  <c r="AE19" i="9" s="1"/>
  <c r="AF19" i="9" s="1"/>
  <c r="AD97" i="9"/>
  <c r="AE97" i="9" s="1"/>
  <c r="AF97" i="9" s="1"/>
  <c r="AD14" i="9"/>
  <c r="AE14" i="9" s="1"/>
  <c r="AF14" i="9" s="1"/>
  <c r="AD13" i="9"/>
  <c r="AE13" i="9" s="1"/>
  <c r="AF13" i="9" s="1"/>
  <c r="AD18" i="9"/>
  <c r="AE18" i="9" s="1"/>
  <c r="AF18" i="9" s="1"/>
  <c r="AD20" i="9"/>
  <c r="AE20" i="9" s="1"/>
  <c r="AF20" i="9" s="1"/>
  <c r="AD21" i="9"/>
  <c r="AE21" i="9" s="1"/>
  <c r="AF21" i="9" s="1"/>
  <c r="AD12" i="9"/>
  <c r="AE12" i="9" s="1"/>
  <c r="AF12" i="9" s="1"/>
  <c r="AD8" i="9"/>
  <c r="AE8" i="9" s="1"/>
  <c r="AF8" i="9" s="1"/>
  <c r="AD9" i="9"/>
  <c r="AE9" i="9" s="1"/>
  <c r="AF9" i="9" s="1"/>
  <c r="AD10" i="9"/>
  <c r="AE10" i="9" s="1"/>
  <c r="AF10" i="9" s="1"/>
  <c r="AD11" i="9"/>
  <c r="AE11" i="9" s="1"/>
  <c r="AF11" i="9" s="1"/>
</calcChain>
</file>

<file path=xl/sharedStrings.xml><?xml version="1.0" encoding="utf-8"?>
<sst xmlns="http://schemas.openxmlformats.org/spreadsheetml/2006/main" count="680" uniqueCount="275">
  <si>
    <t>24/DICT/089</t>
  </si>
  <si>
    <t>24/DICT/011</t>
  </si>
  <si>
    <t>24/DICT/010</t>
  </si>
  <si>
    <t>24/DICT/090</t>
  </si>
  <si>
    <t>24/DICT/025</t>
  </si>
  <si>
    <t>24/DICT/017</t>
  </si>
  <si>
    <t>24/DICT/067</t>
  </si>
  <si>
    <t>24/DICT/020</t>
  </si>
  <si>
    <t>24/DICT/082</t>
  </si>
  <si>
    <t>24/DICT/022</t>
  </si>
  <si>
    <t>24/DICT/084</t>
  </si>
  <si>
    <t>24/DICT/085</t>
  </si>
  <si>
    <t>24/DICT/014</t>
  </si>
  <si>
    <t>24/DICT/050</t>
  </si>
  <si>
    <t>24/DICT/034</t>
  </si>
  <si>
    <t>24/DICT/051</t>
  </si>
  <si>
    <t>24/DICT/072</t>
  </si>
  <si>
    <t>24/DICT/070</t>
  </si>
  <si>
    <t>24/DICT/055</t>
  </si>
  <si>
    <t>24/DICT/016</t>
  </si>
  <si>
    <t>24/DICT/024</t>
  </si>
  <si>
    <t>24/DICT/041</t>
  </si>
  <si>
    <t>24/DICT/059</t>
  </si>
  <si>
    <t>24/DICT/021</t>
  </si>
  <si>
    <t>24/DICT/077</t>
  </si>
  <si>
    <t>24/DICT/026</t>
  </si>
  <si>
    <t>24/DICT/028</t>
  </si>
  <si>
    <t>24/DICT/063</t>
  </si>
  <si>
    <t>24/DICT/058</t>
  </si>
  <si>
    <t>24/DICT/052</t>
  </si>
  <si>
    <t>24/DICT/019</t>
  </si>
  <si>
    <t>24/DICT/065</t>
  </si>
  <si>
    <t>24/DICT/033</t>
  </si>
  <si>
    <t>24/DICT/057</t>
  </si>
  <si>
    <t>24/DICT/013</t>
  </si>
  <si>
    <t>24/DICT/044</t>
  </si>
  <si>
    <t>24/DICT/012</t>
  </si>
  <si>
    <t>24/DICT/023</t>
  </si>
  <si>
    <t>24/DICT/079</t>
  </si>
  <si>
    <t>24/DICT/081</t>
  </si>
  <si>
    <t>24/DICT/068</t>
  </si>
  <si>
    <t>24/DICT/080</t>
  </si>
  <si>
    <t>24/DICT/056</t>
  </si>
  <si>
    <t>24/DICT/015</t>
  </si>
  <si>
    <t>24/DICT/040</t>
  </si>
  <si>
    <t>24/DICT/060</t>
  </si>
  <si>
    <t>24/DICT/042</t>
  </si>
  <si>
    <t>24/DICT/027</t>
  </si>
  <si>
    <t>24/DICT/032</t>
  </si>
  <si>
    <t>24/DICT/029</t>
  </si>
  <si>
    <t>24/DICT/053</t>
  </si>
  <si>
    <t>24/DICT/054</t>
  </si>
  <si>
    <t>24/DICT/045</t>
  </si>
  <si>
    <t>24/DICT/075</t>
  </si>
  <si>
    <t>24/DICT/036</t>
  </si>
  <si>
    <t>24/DICT/083</t>
  </si>
  <si>
    <t>24/DICT/066</t>
  </si>
  <si>
    <t>24/DICT/031</t>
  </si>
  <si>
    <t>24/DICT/069</t>
  </si>
  <si>
    <t>24/DICT/091</t>
  </si>
  <si>
    <t>24/DICT/037</t>
  </si>
  <si>
    <t>24/DICT/074</t>
  </si>
  <si>
    <t>24/DICT/043</t>
  </si>
  <si>
    <t>24/DICT/003</t>
  </si>
  <si>
    <t>24/DICT/005</t>
  </si>
  <si>
    <t>24/DICT/001</t>
  </si>
  <si>
    <t>24/DICT/006</t>
  </si>
  <si>
    <t>24/DICT/004</t>
  </si>
  <si>
    <t>24/DICT/002</t>
  </si>
  <si>
    <t>24/DICT/007</t>
  </si>
  <si>
    <t>Paper A</t>
  </si>
  <si>
    <t>Paper B</t>
  </si>
  <si>
    <t>24/DICT/088</t>
  </si>
  <si>
    <t>24/DICT/064</t>
  </si>
  <si>
    <t>Assign 1</t>
  </si>
  <si>
    <t>Assign 2</t>
  </si>
  <si>
    <t>Assign 3</t>
  </si>
  <si>
    <t>Assign 4</t>
  </si>
  <si>
    <t>Assign 5</t>
  </si>
  <si>
    <t>Assign 6</t>
  </si>
  <si>
    <t>24/DICT/073</t>
  </si>
  <si>
    <t>NC</t>
  </si>
  <si>
    <t>Ivanthika Preethi Gunathilaka</t>
  </si>
  <si>
    <t>24/DICT/018</t>
  </si>
  <si>
    <t>Chamika Nishani Peellakumbura</t>
  </si>
  <si>
    <t>24/DICT/030</t>
  </si>
  <si>
    <t>24/DICT/035</t>
  </si>
  <si>
    <t>Dinethra Kumari Liyanage</t>
  </si>
  <si>
    <t>24/DICT/038</t>
  </si>
  <si>
    <t>Subodha Jayasuriya</t>
  </si>
  <si>
    <t>24/DICT/039</t>
  </si>
  <si>
    <t>24/DICT/046</t>
  </si>
  <si>
    <t>24/DICT/047</t>
  </si>
  <si>
    <t>24/DICT/048</t>
  </si>
  <si>
    <t>24/DICT/049</t>
  </si>
  <si>
    <t>24/DICT/061</t>
  </si>
  <si>
    <t>Widisinha Sumudunu</t>
  </si>
  <si>
    <t>24/DICT/062</t>
  </si>
  <si>
    <t>24/DICT/071</t>
  </si>
  <si>
    <t>24/DICT/076</t>
  </si>
  <si>
    <t>24/DICT/078</t>
  </si>
  <si>
    <t>Chamila Deepani Waliwaththa</t>
  </si>
  <si>
    <t>24/DICT/086</t>
  </si>
  <si>
    <t>24/DICT/087</t>
  </si>
  <si>
    <t>Total</t>
  </si>
  <si>
    <t>DICT 10</t>
  </si>
  <si>
    <t>DICT 09</t>
  </si>
  <si>
    <t>DICT 08</t>
  </si>
  <si>
    <t>DICT 07</t>
  </si>
  <si>
    <t>DICT 06</t>
  </si>
  <si>
    <t>DICT 1,2,3,4,5</t>
  </si>
  <si>
    <t>No</t>
  </si>
  <si>
    <t>Name</t>
  </si>
  <si>
    <t>ID Number</t>
  </si>
  <si>
    <t>Index Number</t>
  </si>
  <si>
    <t>NATIONAL COOPERATIVE COUNCIL OF SRI LANKA, NO 455, GALLE ROAD, COLOMBO 03</t>
  </si>
  <si>
    <t xml:space="preserve">                  Result Sheet</t>
  </si>
  <si>
    <t>24/DICT/008</t>
  </si>
  <si>
    <t>24/DICT/009</t>
  </si>
  <si>
    <t>Dissanayake Mudiyanselage Pradeepa Manori Dissanayake</t>
  </si>
  <si>
    <t>858410886V</t>
  </si>
  <si>
    <t>Delgahathenne Mohottalalage Mudu Padmini Dasanayake</t>
  </si>
  <si>
    <t>Ahangama Merenchige Shaseela Gayan Hasantha De Silva</t>
  </si>
  <si>
    <t>811264458V</t>
  </si>
  <si>
    <t>Dasanayaka Pathirannahalage Yasanthi Shermila Dasanayaka</t>
  </si>
  <si>
    <t>777812564V</t>
  </si>
  <si>
    <t>Thuduwa Waththage Priyanthi</t>
  </si>
  <si>
    <t>796510862V</t>
  </si>
  <si>
    <t>Elahabade Gedara Nirupamala Wijesinghe</t>
  </si>
  <si>
    <t>946061484V</t>
  </si>
  <si>
    <t>Aladeniya Gedara Lasanthika Wickramasinghe</t>
  </si>
  <si>
    <t>916622058V</t>
  </si>
  <si>
    <t>Hemachandra Arachchige Thakshila Chamila Kumari Weerarathne</t>
  </si>
  <si>
    <t>Munasingha Arachchilage Indra Munasingha</t>
  </si>
  <si>
    <t xml:space="preserve">19818070163V  </t>
  </si>
  <si>
    <t>Thennakoon Mudiyanselage Uthpala Harshani Thennakoon</t>
  </si>
  <si>
    <t>977922917V</t>
  </si>
  <si>
    <t>Hettiarachchilage Roshan Hettiarachchi</t>
  </si>
  <si>
    <t>901192405V</t>
  </si>
  <si>
    <t>Rajapaksha Arachchige Duminda Chathuranga Rajapaksha</t>
  </si>
  <si>
    <t>842070457V</t>
  </si>
  <si>
    <t>Karangoda Gamage Monika Kalyani</t>
  </si>
  <si>
    <t>Hambange Niluka Priyadarshani</t>
  </si>
  <si>
    <t>785532961V</t>
  </si>
  <si>
    <t>Wijesinghage Dona Kumudinie Sandya</t>
  </si>
  <si>
    <t>Ekanayaka Mudiyanselage Nimal Pathmasiri</t>
  </si>
  <si>
    <t>Wickramasekara Heellage Raweesha Chalani</t>
  </si>
  <si>
    <t>935830141V</t>
  </si>
  <si>
    <t>847640340V</t>
  </si>
  <si>
    <t xml:space="preserve">Koku Hannadige Aruna Eranda </t>
  </si>
  <si>
    <t>832493627V</t>
  </si>
  <si>
    <t>Appukuttige Chandima Nayani Perera</t>
  </si>
  <si>
    <t>Karunawantha Mudiyanselage Dilini Lakshani Jayanandana</t>
  </si>
  <si>
    <t>947940732V</t>
  </si>
  <si>
    <t>Indola Sumedha Dasanayaka Kandewatta</t>
  </si>
  <si>
    <t>Balangodage Malmi Madhushika Perera</t>
  </si>
  <si>
    <t>987892269V</t>
  </si>
  <si>
    <t>Karunarthilaka Mudiyanselage Sarangi Nilukshika De Sumanadasa</t>
  </si>
  <si>
    <t>Korala Kankanamge Menaka Madhumali</t>
  </si>
  <si>
    <t>905423630V</t>
  </si>
  <si>
    <t>Samarasekara Mudalige Shanika Madhushani Weerasinghe</t>
  </si>
  <si>
    <t>936830200V</t>
  </si>
  <si>
    <t>Kaludura Neela Damayanthi</t>
  </si>
  <si>
    <t>707650028V</t>
  </si>
  <si>
    <t>Handiran Wickramage Ganga Wijerathne</t>
  </si>
  <si>
    <t>818442661V</t>
  </si>
  <si>
    <t>Rankothge Ranga Sanjeewa Jayasinghe</t>
  </si>
  <si>
    <t xml:space="preserve">771970400 V        </t>
  </si>
  <si>
    <t>Pelelle Vithanage Gayani Hasitha</t>
  </si>
  <si>
    <t>Gammaddegoda Liyanage Anusha Udayangani</t>
  </si>
  <si>
    <t>906001055V</t>
  </si>
  <si>
    <t>Ekanayaka Mudiyanselage Kalani Gayatri</t>
  </si>
  <si>
    <t>Kulasekara Adhikaramlage Thisara Sampath Kulasekara</t>
  </si>
  <si>
    <t>862520661V</t>
  </si>
  <si>
    <t>Dewage Samantha Perera</t>
  </si>
  <si>
    <t>Mananage Ruvini Kanchana</t>
  </si>
  <si>
    <t>846911723V</t>
  </si>
  <si>
    <t>Udahawaththe Imantha Pamod Udawaththa</t>
  </si>
  <si>
    <t>787441637V</t>
  </si>
  <si>
    <t xml:space="preserve">915641717V </t>
  </si>
  <si>
    <t>Kottal Baddage Nadeesha Lakmali</t>
  </si>
  <si>
    <t>955081625V</t>
  </si>
  <si>
    <t>Heenatigala Palliyage Koshila Malshani</t>
  </si>
  <si>
    <t>996960501V</t>
  </si>
  <si>
    <t>Adhikari Mudiyanselage Samudra Udayangani Adhikari</t>
  </si>
  <si>
    <t>965960333V</t>
  </si>
  <si>
    <t>Nainankadage Dasuni Kawindya Dissanayaka</t>
  </si>
  <si>
    <t>Senavirathna Gomara Mudiyanselage Mangala Kumarihami Senavirathna</t>
  </si>
  <si>
    <t xml:space="preserve">Rathnayaka Mudiyanselage Indra Kumari </t>
  </si>
  <si>
    <t>775762403V</t>
  </si>
  <si>
    <t>Preethika Shanthini Dissanayake</t>
  </si>
  <si>
    <t xml:space="preserve">798112805V    </t>
  </si>
  <si>
    <t>Ekanayaka Mudiyanselage Chandima Jayamali Ekanayake</t>
  </si>
  <si>
    <t>835220591V</t>
  </si>
  <si>
    <t>Ranawaka Hewage Sujeewa Jeewani fernando</t>
  </si>
  <si>
    <r>
      <t xml:space="preserve">838370080V       </t>
    </r>
    <r>
      <rPr>
        <sz val="12"/>
        <color rgb="FF000000"/>
        <rFont val="FMAbhaya"/>
      </rPr>
      <t xml:space="preserve"> </t>
    </r>
  </si>
  <si>
    <t>Wepathaira Senarath Arachchige Nisha Thamara</t>
  </si>
  <si>
    <t>Munasinghe Gamaethige Kalani Dinedra Munasinghe</t>
  </si>
  <si>
    <t>986481834V</t>
  </si>
  <si>
    <t>Rathnayaka Mudiyanselage Ruwanthi Praboda Sewwandi</t>
  </si>
  <si>
    <t>997300050V</t>
  </si>
  <si>
    <t>Sathsara Madhushan Loku Narangoda</t>
  </si>
  <si>
    <t>Punchi Gamage Pradeepika Thushanthi Wijesekara</t>
  </si>
  <si>
    <t>Ekanayakage Ayesha Kumari Ekanayaka</t>
  </si>
  <si>
    <t>899034186V</t>
  </si>
  <si>
    <t>Peramunugamage Vihanga Sammoda Dissanayaka</t>
  </si>
  <si>
    <t>Dankoluwage Ishani Dinuka Kumari</t>
  </si>
  <si>
    <t>845383324V</t>
  </si>
  <si>
    <t>Weerathunga Mudiyanselage Kapila Piyasiri Weerathunga</t>
  </si>
  <si>
    <t>923201815V</t>
  </si>
  <si>
    <t>Aluthwatte Gedara Nilmini Kumari Rathnayaka</t>
  </si>
  <si>
    <t>728544643V</t>
  </si>
  <si>
    <t>Niladure Wiyannalage Deepika Priyangani</t>
  </si>
  <si>
    <t>Gabbela Balangodage Sandya Dimuthu Sandamali Jayasundara</t>
  </si>
  <si>
    <t>896032348V</t>
  </si>
  <si>
    <t>Herath Pathirannehalage Hemasiri Wasantha Kumara</t>
  </si>
  <si>
    <t>661461861V</t>
  </si>
  <si>
    <t>Senanayaka Arachchige Asanka Sameera Senanayaka</t>
  </si>
  <si>
    <t>Ranathunga Arachchillaga Chomodani Eresha Ranathunga</t>
  </si>
  <si>
    <t>Madduma Welyayage Kumuduni Sriya Welyaya</t>
  </si>
  <si>
    <t>715100258V</t>
  </si>
  <si>
    <t>Kodikara Appuhamilage Dhanuka Chathurajitha Bandara</t>
  </si>
  <si>
    <t>893641785V</t>
  </si>
  <si>
    <t>Pinnakanda Kattadilage Sunethra Jayanthi Senarathna</t>
  </si>
  <si>
    <t>Senadeera Arachchige Muditha Madumali Senadeera</t>
  </si>
  <si>
    <t>937311311V</t>
  </si>
  <si>
    <t>Saummya Arachchilage Ganga Priyadarshani</t>
  </si>
  <si>
    <t>888553363V</t>
  </si>
  <si>
    <t>Elibichchi Ralalage Indra Shyamalee Kumari</t>
  </si>
  <si>
    <t>748212078V</t>
  </si>
  <si>
    <t>Bandiya Wel Durayalage Thilini Swarnamali Ihalawaththa</t>
  </si>
  <si>
    <t>906303906V</t>
  </si>
  <si>
    <t>Thelikada Arachchige Wajira Shyamali Rathnayaka</t>
  </si>
  <si>
    <t>Dissanayaka Mudiyanselage Nilanthika Priyadarshani Dissanayaka</t>
  </si>
  <si>
    <t>Kuruhera Ralalage Nadeeka Kumari Medagoda</t>
  </si>
  <si>
    <t xml:space="preserve">Thellambure Hewa Ranathunga Sujani Vichithra </t>
  </si>
  <si>
    <t>847540486V</t>
  </si>
  <si>
    <t>Gorokgodage Don Mohan Sampath</t>
  </si>
  <si>
    <t>990621446V</t>
  </si>
  <si>
    <t>Hallinnage Nadeeka Sudarshani Perera</t>
  </si>
  <si>
    <t>Mallawa Arachchige Sunethra  Chandrakanthi</t>
  </si>
  <si>
    <t>685690195V</t>
  </si>
  <si>
    <t>Ranasinghe Bethmage Gihan Eranda Ranasinghe</t>
  </si>
  <si>
    <t>853373923V</t>
  </si>
  <si>
    <t>Sanjeewa Chithrangani Senarath Hettiarachchi</t>
  </si>
  <si>
    <t>788163533V</t>
  </si>
  <si>
    <t>Rajapaksha Wallahena Kankanamalage Niroshan</t>
  </si>
  <si>
    <t>840290115V</t>
  </si>
  <si>
    <t>Kaludurayalage Shiroma Surangani Wickramasinghe</t>
  </si>
  <si>
    <t>787902510V</t>
  </si>
  <si>
    <t>Sinhara Weerayalage Disnani Gunapala</t>
  </si>
  <si>
    <t>866590249V</t>
  </si>
  <si>
    <t>Marasinghege Achini Nilanka Karunathilaka</t>
  </si>
  <si>
    <t>826701188V</t>
  </si>
  <si>
    <t>Disanayakalage Aloka Dulanjali Rupasingha</t>
  </si>
  <si>
    <t>917030987V</t>
  </si>
  <si>
    <t>Bothalage Rishani Nimasha Fernando</t>
  </si>
  <si>
    <t>867153748V</t>
  </si>
  <si>
    <t>Peththa Peruma Arachchilage Rupika Darshani Herath</t>
  </si>
  <si>
    <t>876121484V</t>
  </si>
  <si>
    <t>Kurunayakage Kasun Lakmal Karunathilaka</t>
  </si>
  <si>
    <t>940471931V</t>
  </si>
  <si>
    <t>Nagasinghe Kumarannehelage Harshani Shamila Nagasinghe</t>
  </si>
  <si>
    <t>956333733V</t>
  </si>
  <si>
    <t>Thunkida Durayalage Deepthika Priyanvada Somasiri</t>
  </si>
  <si>
    <t>755363464V</t>
  </si>
  <si>
    <t>Final Grade</t>
  </si>
  <si>
    <t>AB</t>
  </si>
  <si>
    <t>(85-100 = A+/ 80-84 =  A / 75-79 = A- /70-74 =  B+/ 65-69 = B /60-64 = B- / 55-59=C+/ 50-54 = C/ 45-49 = C- /40-44 = D+ /35-39 = D / 0-34 = F / NC = Not Completed AB = Absent)</t>
  </si>
  <si>
    <t>91</t>
  </si>
  <si>
    <t>Average</t>
  </si>
  <si>
    <t>Place</t>
  </si>
  <si>
    <r>
      <rPr>
        <b/>
        <sz val="16"/>
        <rFont val="Times New Roman"/>
        <family val="1"/>
      </rPr>
      <t xml:space="preserve">Diploma  in Information &amp; Communication Technology - </t>
    </r>
    <r>
      <rPr>
        <b/>
        <sz val="16"/>
        <color theme="1"/>
        <rFont val="Times New Roman"/>
        <family val="1"/>
      </rPr>
      <t>Academic Year 2024/2025</t>
    </r>
  </si>
  <si>
    <t>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</si>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</sst>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FMAbhaya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b/>
      <sz val="12"/>
      <color theme="1"/>
      <name val="FMAbhaya"/>
    </font>
    <font>
      <sz val="12"/>
      <color theme="1"/>
      <name val="Times New Roman"/>
      <family val="1"/>
    </font>
    <font>
      <sz val="12"/>
      <color rgb="FF000000"/>
      <name val="FMAbhaya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6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" fontId="13" fillId="0" borderId="1" xfId="0" applyNumberFormat="1" applyFont="1" applyBorder="1" applyAlignment="1">
      <alignment horizontal="left" vertical="center" wrapText="1"/>
    </xf>
    <xf numFmtId="0" fontId="13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textRotation="90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center" vertical="center"/>
    </xf>
    <xf numFmtId="0" fontId="13" fillId="0" borderId="1" xfId="1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15" fillId="0" borderId="0" xfId="0" applyFont="1"/>
    <xf numFmtId="0" fontId="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textRotation="90"/>
    </xf>
    <xf numFmtId="0" fontId="7" fillId="4" borderId="1" xfId="0" applyFont="1" applyFill="1" applyBorder="1" applyAlignment="1">
      <alignment horizontal="center" textRotation="90" wrapText="1"/>
    </xf>
    <xf numFmtId="0" fontId="7" fillId="4" borderId="1" xfId="0" applyFont="1" applyFill="1" applyBorder="1" applyAlignment="1">
      <alignment horizontal="center" textRotation="90"/>
    </xf>
    <xf numFmtId="0" fontId="7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 textRotation="9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textRotation="90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2028825</xdr:colOff>
      <xdr:row>9</xdr:row>
      <xdr:rowOff>57150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00300" y="262890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101"/>
  <sheetViews>
    <sheetView tabSelected="1" zoomScale="69" zoomScaleNormal="100" zoomScaleSheetLayoutView="80" workbookViewId="0">
      <selection activeCell="AI14" sqref="AI14"/>
    </sheetView>
  </sheetViews>
  <sheetFormatPr defaultRowHeight="15.6"/>
  <cols>
    <col min="1" max="1" width="3.44140625" customWidth="1"/>
    <col min="2" max="2" width="3.88671875" customWidth="1"/>
    <col min="3" max="3" width="58.33203125" customWidth="1"/>
    <col min="4" max="4" width="14.5546875" customWidth="1"/>
    <col min="5" max="5" width="13.109375" customWidth="1"/>
    <col min="6" max="9" width="4.6640625" hidden="1" customWidth="1"/>
    <col min="10" max="10" width="3.6640625" hidden="1" customWidth="1"/>
    <col min="11" max="11" width="2.33203125" hidden="1" customWidth="1"/>
    <col min="12" max="12" width="3.6640625" hidden="1" customWidth="1"/>
    <col min="13" max="13" width="6.33203125" hidden="1" customWidth="1"/>
    <col min="14" max="31" width="5.5546875" style="1" customWidth="1"/>
    <col min="32" max="32" width="17.109375" style="1" customWidth="1"/>
    <col min="33" max="33" width="15" customWidth="1"/>
  </cols>
  <sheetData>
    <row r="1" spans="2:57" ht="26.25" customHeight="1">
      <c r="B1" s="46" t="s">
        <v>115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2:57" ht="6" hidden="1" customHeight="1">
      <c r="B2" s="3"/>
      <c r="C2" s="3"/>
      <c r="D2" s="4"/>
      <c r="E2" s="3"/>
      <c r="F2" s="5"/>
      <c r="G2" s="5"/>
      <c r="H2" s="6"/>
      <c r="I2" s="5"/>
      <c r="J2" s="5"/>
      <c r="K2" s="5"/>
      <c r="L2" s="5"/>
      <c r="M2" s="5"/>
      <c r="N2" s="5"/>
      <c r="O2" s="5"/>
      <c r="P2" s="5"/>
      <c r="Q2" s="5"/>
      <c r="R2" s="3"/>
      <c r="S2" s="7"/>
      <c r="T2" s="7"/>
      <c r="U2"/>
      <c r="V2"/>
      <c r="W2"/>
      <c r="X2"/>
      <c r="Y2"/>
      <c r="Z2"/>
      <c r="AA2"/>
      <c r="AB2"/>
      <c r="AC2"/>
      <c r="AD2"/>
      <c r="AE2"/>
      <c r="AF2" s="42"/>
      <c r="BD2" s="8"/>
      <c r="BE2" s="9"/>
    </row>
    <row r="3" spans="2:57" ht="26.25" customHeight="1">
      <c r="B3" s="47" t="s">
        <v>272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spans="2:57" ht="19.5" customHeight="1">
      <c r="B4" s="48" t="s">
        <v>116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</row>
    <row r="5" spans="2:57" ht="28.5" customHeight="1">
      <c r="B5" s="49" t="s">
        <v>268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9"/>
    </row>
    <row r="6" spans="2:57" ht="54.75" customHeight="1">
      <c r="B6" s="58" t="s">
        <v>111</v>
      </c>
      <c r="C6" s="56" t="s">
        <v>112</v>
      </c>
      <c r="D6" s="56" t="s">
        <v>113</v>
      </c>
      <c r="E6" s="55" t="s">
        <v>114</v>
      </c>
      <c r="F6" s="34" t="s">
        <v>70</v>
      </c>
      <c r="G6" s="34" t="s">
        <v>71</v>
      </c>
      <c r="H6" s="35" t="s">
        <v>74</v>
      </c>
      <c r="I6" s="35" t="s">
        <v>75</v>
      </c>
      <c r="J6" s="35" t="s">
        <v>76</v>
      </c>
      <c r="K6" s="35" t="s">
        <v>77</v>
      </c>
      <c r="L6" s="35" t="s">
        <v>78</v>
      </c>
      <c r="M6" s="35" t="s">
        <v>79</v>
      </c>
      <c r="N6" s="50" t="s">
        <v>70</v>
      </c>
      <c r="O6" s="50"/>
      <c r="P6" s="50" t="s">
        <v>71</v>
      </c>
      <c r="Q6" s="50"/>
      <c r="R6" s="51" t="s">
        <v>110</v>
      </c>
      <c r="S6" s="51"/>
      <c r="T6" s="52" t="s">
        <v>109</v>
      </c>
      <c r="U6" s="52"/>
      <c r="V6" s="52" t="s">
        <v>108</v>
      </c>
      <c r="W6" s="52"/>
      <c r="X6" s="52" t="s">
        <v>107</v>
      </c>
      <c r="Y6" s="52"/>
      <c r="Z6" s="52" t="s">
        <v>106</v>
      </c>
      <c r="AA6" s="52"/>
      <c r="AB6" s="52" t="s">
        <v>105</v>
      </c>
      <c r="AC6" s="52"/>
      <c r="AD6" s="54" t="s">
        <v>104</v>
      </c>
      <c r="AE6" s="54" t="s">
        <v>270</v>
      </c>
      <c r="AF6" s="57" t="s">
        <v>266</v>
      </c>
      <c r="AG6" s="53" t="s">
        <v>271</v>
      </c>
    </row>
    <row r="7" spans="2:57" s="26" customFormat="1" ht="27.75" customHeight="1">
      <c r="B7" s="59"/>
      <c r="C7" s="56"/>
      <c r="D7" s="56"/>
      <c r="E7" s="55"/>
      <c r="F7" s="24"/>
      <c r="G7" s="24"/>
      <c r="H7" s="24"/>
      <c r="I7" s="24"/>
      <c r="J7" s="24"/>
      <c r="K7" s="24"/>
      <c r="L7" s="24"/>
      <c r="M7" s="24"/>
      <c r="N7" s="60" t="s">
        <v>273</v>
      </c>
      <c r="O7" s="60" t="s">
        <v>274</v>
      </c>
      <c r="P7" s="60" t="s">
        <v>273</v>
      </c>
      <c r="Q7" s="60" t="s">
        <v>274</v>
      </c>
      <c r="R7" s="60" t="s">
        <v>273</v>
      </c>
      <c r="S7" s="60" t="s">
        <v>274</v>
      </c>
      <c r="T7" s="60" t="s">
        <v>273</v>
      </c>
      <c r="U7" s="60" t="s">
        <v>274</v>
      </c>
      <c r="V7" s="60" t="s">
        <v>273</v>
      </c>
      <c r="W7" s="60" t="s">
        <v>274</v>
      </c>
      <c r="X7" s="60" t="s">
        <v>273</v>
      </c>
      <c r="Y7" s="60" t="s">
        <v>274</v>
      </c>
      <c r="Z7" s="60" t="s">
        <v>273</v>
      </c>
      <c r="AA7" s="60" t="s">
        <v>274</v>
      </c>
      <c r="AB7" s="60" t="s">
        <v>273</v>
      </c>
      <c r="AC7" s="60" t="s">
        <v>274</v>
      </c>
      <c r="AD7" s="54"/>
      <c r="AE7" s="54"/>
      <c r="AF7" s="57"/>
      <c r="AG7" s="53"/>
    </row>
    <row r="8" spans="2:57" s="26" customFormat="1" ht="27.75" customHeight="1">
      <c r="B8" s="15">
        <v>1</v>
      </c>
      <c r="C8" s="16" t="s">
        <v>119</v>
      </c>
      <c r="D8" s="17" t="s">
        <v>120</v>
      </c>
      <c r="E8" s="13" t="s">
        <v>65</v>
      </c>
      <c r="F8" s="22">
        <v>15</v>
      </c>
      <c r="G8" s="22">
        <v>16</v>
      </c>
      <c r="H8" s="23">
        <v>6</v>
      </c>
      <c r="I8" s="22">
        <v>7</v>
      </c>
      <c r="J8" s="24">
        <v>8</v>
      </c>
      <c r="K8" s="24">
        <v>8</v>
      </c>
      <c r="L8" s="24">
        <v>8</v>
      </c>
      <c r="M8" s="24">
        <v>9</v>
      </c>
      <c r="N8" s="39">
        <f>F8*5</f>
        <v>75</v>
      </c>
      <c r="O8" s="39" t="str">
        <f>IF(N8="-", "Absent", IF(N8&gt;=85, "A+", IF(N8&gt;=80, "A", IF(N8&gt;=75, "A-", IF(N8&gt;=70, "B+",IF(N8&gt;=65, "B", IF(N8&gt;=60, "B-", IF(N8&gt;=55, "C+", IF(N8&gt;=50, "C", IF(N8&gt;=45, "C-", IF(N8&gt;=39, "D+", IF(N8&gt;=35, "D", IF(N8&gt;=0, "F" )))))))))))))</f>
        <v>A-</v>
      </c>
      <c r="P8" s="39">
        <f t="shared" ref="P8:P14" si="0">G8*5</f>
        <v>80</v>
      </c>
      <c r="Q8" s="39" t="str">
        <f>IF(P8="-", "Absent", IF(P8&gt;=85, "A+", IF(P8&gt;=80, "A", IF(P8&gt;=75, "A-", IF(P8&gt;=70, "B+",IF(P8&gt;=65, "B", IF(P8&gt;=60, "B-", IF(P8&gt;=55, "C+", IF(P8&gt;=50, "C", IF(P8&gt;=45, "C-", IF(P8&gt;=39, "D+", IF(P8&gt;=35, "D", IF(P8&gt;=0, "F" )))))))))))))</f>
        <v>A</v>
      </c>
      <c r="R8" s="39">
        <f t="shared" ref="R8" si="1">H8*10</f>
        <v>60</v>
      </c>
      <c r="S8" s="40" t="str">
        <f>IF(R8="-", "Absent", IF(R8&gt;=85, "A+", IF(R8&gt;=80, "A", IF(R8&gt;=75, "A-", IF(R8&gt;=70, "B+",IF(R8&gt;=65, "B", IF(R8&gt;=60, "B-", IF(R8&gt;=55, "C+", IF(R8&gt;=50, "C", IF(R8&gt;=45, "C-", IF(R8&gt;=39, "D+", IF(R8&gt;=35, "D", IF(R8&gt;=0, "F" )))))))))))))</f>
        <v>B-</v>
      </c>
      <c r="T8" s="39">
        <f>I8*10</f>
        <v>70</v>
      </c>
      <c r="U8" s="40" t="str">
        <f>IF(T8="-", "Absent", IF(T8&gt;=85, "A+", IF(T8&gt;=80, "A", IF(T8&gt;=75, "A-", IF(T8&gt;=70, "B+",IF(T8&gt;=65, "B", IF(T8&gt;=60, "B-", IF(T8&gt;=55, "C+", IF(T8&gt;=50, "C", IF(T8&gt;=45, "C-", IF(T8&gt;=39, "D+", IF(T8&gt;=35, "D", IF(T8&gt;=0, "F" )))))))))))))</f>
        <v>B+</v>
      </c>
      <c r="V8" s="39">
        <f>J8*10</f>
        <v>80</v>
      </c>
      <c r="W8" s="40" t="str">
        <f>IF(V8="-", "Absent", IF(V8&gt;=85, "A+", IF(V8&gt;=80, "A", IF(V8&gt;=75, "A-", IF(V8&gt;=70, "B+",IF(V8&gt;=65, "B", IF(V8&gt;=60, "B-", IF(V8&gt;=55, "C+", IF(V8&gt;=50, "C", IF(V8&gt;=45, "C-", IF(V8&gt;=39, "D+", IF(V8&gt;=35, "D", IF(V8&gt;=0, "F" )))))))))))))</f>
        <v>A</v>
      </c>
      <c r="X8" s="39">
        <f>K8*10</f>
        <v>80</v>
      </c>
      <c r="Y8" s="40" t="str">
        <f>IF(X8="-", "Absent", IF(X8&gt;=85, "A+", IF(X8&gt;=80, "A", IF(X8&gt;=75, "A-", IF(X8&gt;=70, "B+",IF(X8&gt;=65, "B", IF(X8&gt;=60, "B-", IF(X8&gt;=55, "C+", IF(X8&gt;=50, "C", IF(X8&gt;=45, "C-", IF(X8&gt;=39, "D+", IF(X8&gt;=35, "D", IF(X8&gt;=0, "F" )))))))))))))</f>
        <v>A</v>
      </c>
      <c r="Z8" s="39">
        <f>L8*10</f>
        <v>80</v>
      </c>
      <c r="AA8" s="40" t="str">
        <f>IF(Z8="-", "Absent", IF(Z8&gt;=85, "A+", IF(Z8&gt;=80, "A", IF(Z8&gt;=75, "A-", IF(Z8&gt;=70, "B+",IF(Z8&gt;=65, "B", IF(Z8&gt;=60, "B-", IF(Z8&gt;=55, "C+", IF(Z8&gt;=50, "C", IF(Z8&gt;=45, "C-", IF(Z8&gt;=39, "D+", IF(Z8&gt;=35, "D", IF(Z8&gt;=0, "F" )))))))))))))</f>
        <v>A</v>
      </c>
      <c r="AB8" s="39">
        <f>M8*10</f>
        <v>90</v>
      </c>
      <c r="AC8" s="40" t="str">
        <f>IF(AB8="-", "Absent", IF(AB8&gt;=85, "A+", IF(AB8&gt;=80, "A", IF(AB8&gt;=75, "A-", IF(AB8&gt;=70, "B+",IF(AB8&gt;=65, "B", IF(AB8&gt;=60, "B-", IF(AB8&gt;=55, "C+", IF(AB8&gt;=50, "C", IF(AB8&gt;=45, "C-", IF(AB8&gt;=39, "D+", IF(AB8&gt;=35, "D", IF(AB8&gt;=0, "F" )))))))))))))</f>
        <v>A+</v>
      </c>
      <c r="AD8" s="39">
        <f>N8+P8+R8+T8+V8+X8+Z8+AB8</f>
        <v>615</v>
      </c>
      <c r="AE8" s="41">
        <f>AD8/8</f>
        <v>76.875</v>
      </c>
      <c r="AF8" s="44" t="str">
        <f>IF(AE8="-", "Absent", IF(AE8&gt;=85, "Excellent Pass", IF(AE8&gt;=70, "Very Good", IF(AE8&gt;=55, "Credit Pass", IF(AE8&gt;=40, "Ordinary Pass",IF(AE8&gt;=39, "Fail"))))))</f>
        <v>Very Good</v>
      </c>
      <c r="AG8" s="24"/>
    </row>
    <row r="9" spans="2:57" s="26" customFormat="1" ht="27.75" customHeight="1">
      <c r="B9" s="15">
        <v>2</v>
      </c>
      <c r="C9" s="16" t="s">
        <v>121</v>
      </c>
      <c r="D9" s="18">
        <v>197954501650</v>
      </c>
      <c r="E9" s="13" t="s">
        <v>68</v>
      </c>
      <c r="F9" s="22">
        <v>16</v>
      </c>
      <c r="G9" s="22">
        <v>15</v>
      </c>
      <c r="H9" s="23">
        <v>5</v>
      </c>
      <c r="I9" s="22">
        <v>6</v>
      </c>
      <c r="J9" s="24">
        <v>7</v>
      </c>
      <c r="K9" s="24">
        <v>8</v>
      </c>
      <c r="L9" s="24">
        <v>8</v>
      </c>
      <c r="M9" s="24">
        <v>8</v>
      </c>
      <c r="N9" s="39">
        <f t="shared" ref="N9:N89" si="2">F9*5</f>
        <v>80</v>
      </c>
      <c r="O9" s="39" t="str">
        <f t="shared" ref="O9:O27" si="3">IF(N9="-", "Absent", IF(N9&gt;=85, "A+", IF(N9&gt;=80, "A", IF(N9&gt;=75, "A-", IF(N9&gt;=70, "B+",IF(N9&gt;=65, "B", IF(N9&gt;=60, "B-", IF(N9&gt;=55, "C+", IF(N9&gt;=50, "C", IF(N9&gt;=45, "C-", IF(N9&gt;=39, "D+", IF(N9&gt;=35, "D", IF(N9&gt;=0, "F" )))))))))))))</f>
        <v>A</v>
      </c>
      <c r="P9" s="39">
        <f t="shared" si="0"/>
        <v>75</v>
      </c>
      <c r="Q9" s="39" t="str">
        <f t="shared" ref="Q9:Q27" si="4">IF(P9="-", "Absent", IF(P9&gt;=85, "A+", IF(P9&gt;=80, "A", IF(P9&gt;=75, "A-", IF(P9&gt;=70, "B+",IF(P9&gt;=65, "B", IF(P9&gt;=60, "B-", IF(P9&gt;=55, "C+", IF(P9&gt;=50, "C", IF(P9&gt;=45, "C-", IF(P9&gt;=39, "D+", IF(P9&gt;=35, "D", IF(P9&gt;=0, "F" )))))))))))))</f>
        <v>A-</v>
      </c>
      <c r="R9" s="39">
        <f t="shared" ref="R9:R63" si="5">H9*10</f>
        <v>50</v>
      </c>
      <c r="S9" s="40" t="str">
        <f t="shared" ref="S9:S89" si="6">IF(R9="-", "Absent", IF(R9&gt;=85, "A+", IF(R9&gt;=80, "A", IF(R9&gt;=75, "A-", IF(R9&gt;=70, "B+",IF(R9&gt;=65, "B", IF(R9&gt;=60, "B-", IF(R9&gt;=55, "C+", IF(R9&gt;=50, "C", IF(R9&gt;=45, "C-", IF(R9&gt;=39, "D+", IF(R9&gt;=35, "D", IF(R9&gt;=0, "F" )))))))))))))</f>
        <v>C</v>
      </c>
      <c r="T9" s="39">
        <f>I9*10</f>
        <v>60</v>
      </c>
      <c r="U9" s="40" t="str">
        <f t="shared" ref="U9:U89" si="7">IF(T9="-", "Absent", IF(T9&gt;=85, "A+", IF(T9&gt;=80, "A", IF(T9&gt;=75, "A-", IF(T9&gt;=70, "B+",IF(T9&gt;=65, "B", IF(T9&gt;=60, "B-", IF(T9&gt;=55, "C+", IF(T9&gt;=50, "C", IF(T9&gt;=45, "C-", IF(T9&gt;=39, "D+", IF(T9&gt;=35, "D", IF(T9&gt;=0, "F" )))))))))))))</f>
        <v>B-</v>
      </c>
      <c r="V9" s="39">
        <f>J9*10</f>
        <v>70</v>
      </c>
      <c r="W9" s="40" t="str">
        <f t="shared" ref="W9:W89" si="8">IF(V9="-", "Absent", IF(V9&gt;=85, "A+", IF(V9&gt;=80, "A", IF(V9&gt;=75, "A-", IF(V9&gt;=70, "B+",IF(V9&gt;=65, "B", IF(V9&gt;=60, "B-", IF(V9&gt;=55, "C+", IF(V9&gt;=50, "C", IF(V9&gt;=45, "C-", IF(V9&gt;=39, "D+", IF(V9&gt;=35, "D", IF(V9&gt;=0, "F" )))))))))))))</f>
        <v>B+</v>
      </c>
      <c r="X9" s="39">
        <f>K9*10</f>
        <v>80</v>
      </c>
      <c r="Y9" s="40" t="str">
        <f t="shared" ref="Y9:Y89" si="9">IF(X9="-", "Absent", IF(X9&gt;=85, "A+", IF(X9&gt;=80, "A", IF(X9&gt;=75, "A-", IF(X9&gt;=70, "B+",IF(X9&gt;=65, "B", IF(X9&gt;=60, "B-", IF(X9&gt;=55, "C+", IF(X9&gt;=50, "C", IF(X9&gt;=45, "C-", IF(X9&gt;=39, "D+", IF(X9&gt;=35, "D", IF(X9&gt;=0, "F" )))))))))))))</f>
        <v>A</v>
      </c>
      <c r="Z9" s="39">
        <f>L9*10</f>
        <v>80</v>
      </c>
      <c r="AA9" s="40" t="str">
        <f t="shared" ref="AA9:AA89" si="10">IF(Z9="-", "Absent", IF(Z9&gt;=85, "A+", IF(Z9&gt;=80, "A", IF(Z9&gt;=75, "A-", IF(Z9&gt;=70, "B+",IF(Z9&gt;=65, "B", IF(Z9&gt;=60, "B-", IF(Z9&gt;=55, "C+", IF(Z9&gt;=50, "C", IF(Z9&gt;=45, "C-", IF(Z9&gt;=39, "D+", IF(Z9&gt;=35, "D", IF(Z9&gt;=0, "F" )))))))))))))</f>
        <v>A</v>
      </c>
      <c r="AB9" s="39">
        <f>M9*10</f>
        <v>80</v>
      </c>
      <c r="AC9" s="40" t="str">
        <f t="shared" ref="AC9:AC89" si="11">IF(AB9="-", "Absent", IF(AB9&gt;=85, "A+", IF(AB9&gt;=80, "A", IF(AB9&gt;=75, "A-", IF(AB9&gt;=70, "B+",IF(AB9&gt;=65, "B", IF(AB9&gt;=60, "B-", IF(AB9&gt;=55, "C+", IF(AB9&gt;=50, "C", IF(AB9&gt;=45, "C-", IF(AB9&gt;=39, "D+", IF(AB9&gt;=35, "D", IF(AB9&gt;=0, "F" )))))))))))))</f>
        <v>A</v>
      </c>
      <c r="AD9" s="39">
        <f t="shared" ref="AD9:AD89" si="12">N9+P9+R9+T9+V9+X9+Z9+AB9</f>
        <v>575</v>
      </c>
      <c r="AE9" s="41">
        <f t="shared" ref="AE9:AE89" si="13">AD9/8</f>
        <v>71.875</v>
      </c>
      <c r="AF9" s="44" t="str">
        <f t="shared" ref="AF9:AF27" si="14">IF(AE9="-", "Absent", IF(AE9&gt;=85, "Excellent Pass", IF(AE9&gt;=70, "Very Good", IF(AE9&gt;=55, "Credit Pass", IF(AE9&gt;=40, "Ordinary Pass",IF(AE9&gt;=39, "Fail"))))))</f>
        <v>Very Good</v>
      </c>
      <c r="AG9" s="24"/>
    </row>
    <row r="10" spans="2:57" s="26" customFormat="1" ht="27.75" customHeight="1">
      <c r="B10" s="15">
        <v>3</v>
      </c>
      <c r="C10" s="16" t="s">
        <v>122</v>
      </c>
      <c r="D10" s="17" t="s">
        <v>123</v>
      </c>
      <c r="E10" s="13" t="s">
        <v>63</v>
      </c>
      <c r="F10" s="22">
        <v>18</v>
      </c>
      <c r="G10" s="22">
        <v>16</v>
      </c>
      <c r="H10" s="23">
        <v>7</v>
      </c>
      <c r="I10" s="22">
        <v>8</v>
      </c>
      <c r="J10" s="24">
        <v>9</v>
      </c>
      <c r="K10" s="24">
        <v>9</v>
      </c>
      <c r="L10" s="24">
        <v>9</v>
      </c>
      <c r="M10" s="24">
        <v>10</v>
      </c>
      <c r="N10" s="39">
        <f t="shared" si="2"/>
        <v>90</v>
      </c>
      <c r="O10" s="39" t="str">
        <f t="shared" si="3"/>
        <v>A+</v>
      </c>
      <c r="P10" s="39">
        <f t="shared" si="0"/>
        <v>80</v>
      </c>
      <c r="Q10" s="39" t="str">
        <f t="shared" si="4"/>
        <v>A</v>
      </c>
      <c r="R10" s="39">
        <f t="shared" si="5"/>
        <v>70</v>
      </c>
      <c r="S10" s="40" t="str">
        <f t="shared" si="6"/>
        <v>B+</v>
      </c>
      <c r="T10" s="39">
        <f>I10*10</f>
        <v>80</v>
      </c>
      <c r="U10" s="40" t="str">
        <f t="shared" si="7"/>
        <v>A</v>
      </c>
      <c r="V10" s="39">
        <f>J10*10</f>
        <v>90</v>
      </c>
      <c r="W10" s="40" t="str">
        <f t="shared" si="8"/>
        <v>A+</v>
      </c>
      <c r="X10" s="39">
        <f>K10*10</f>
        <v>90</v>
      </c>
      <c r="Y10" s="40" t="str">
        <f t="shared" si="9"/>
        <v>A+</v>
      </c>
      <c r="Z10" s="39">
        <f>L10*10</f>
        <v>90</v>
      </c>
      <c r="AA10" s="40" t="str">
        <f t="shared" si="10"/>
        <v>A+</v>
      </c>
      <c r="AB10" s="39">
        <f>M10*10</f>
        <v>100</v>
      </c>
      <c r="AC10" s="40" t="str">
        <f t="shared" si="11"/>
        <v>A+</v>
      </c>
      <c r="AD10" s="39">
        <f t="shared" si="12"/>
        <v>690</v>
      </c>
      <c r="AE10" s="41">
        <f t="shared" si="13"/>
        <v>86.25</v>
      </c>
      <c r="AF10" s="44" t="str">
        <f t="shared" si="14"/>
        <v>Excellent Pass</v>
      </c>
      <c r="AG10" s="24"/>
    </row>
    <row r="11" spans="2:57" s="26" customFormat="1" ht="27.75" customHeight="1">
      <c r="B11" s="15">
        <v>4</v>
      </c>
      <c r="C11" s="16" t="s">
        <v>124</v>
      </c>
      <c r="D11" s="18" t="s">
        <v>125</v>
      </c>
      <c r="E11" s="13" t="s">
        <v>67</v>
      </c>
      <c r="F11" s="22">
        <v>18</v>
      </c>
      <c r="G11" s="22">
        <v>15</v>
      </c>
      <c r="H11" s="23">
        <v>6</v>
      </c>
      <c r="I11" s="22">
        <v>6</v>
      </c>
      <c r="J11" s="24">
        <v>8</v>
      </c>
      <c r="K11" s="24">
        <v>8</v>
      </c>
      <c r="L11" s="24">
        <v>9</v>
      </c>
      <c r="M11" s="24">
        <v>9</v>
      </c>
      <c r="N11" s="39">
        <f t="shared" si="2"/>
        <v>90</v>
      </c>
      <c r="O11" s="39" t="str">
        <f t="shared" si="3"/>
        <v>A+</v>
      </c>
      <c r="P11" s="39">
        <f t="shared" si="0"/>
        <v>75</v>
      </c>
      <c r="Q11" s="39" t="str">
        <f t="shared" si="4"/>
        <v>A-</v>
      </c>
      <c r="R11" s="39">
        <f t="shared" si="5"/>
        <v>60</v>
      </c>
      <c r="S11" s="40" t="str">
        <f t="shared" si="6"/>
        <v>B-</v>
      </c>
      <c r="T11" s="39">
        <f>I11*10</f>
        <v>60</v>
      </c>
      <c r="U11" s="40" t="str">
        <f t="shared" si="7"/>
        <v>B-</v>
      </c>
      <c r="V11" s="39">
        <f>J11*10</f>
        <v>80</v>
      </c>
      <c r="W11" s="40" t="str">
        <f t="shared" si="8"/>
        <v>A</v>
      </c>
      <c r="X11" s="39">
        <f>K11*10</f>
        <v>80</v>
      </c>
      <c r="Y11" s="40" t="str">
        <f t="shared" si="9"/>
        <v>A</v>
      </c>
      <c r="Z11" s="39">
        <f>L11*10</f>
        <v>90</v>
      </c>
      <c r="AA11" s="40" t="str">
        <f t="shared" si="10"/>
        <v>A+</v>
      </c>
      <c r="AB11" s="39">
        <f>M11*10</f>
        <v>90</v>
      </c>
      <c r="AC11" s="40" t="str">
        <f t="shared" si="11"/>
        <v>A+</v>
      </c>
      <c r="AD11" s="39">
        <f t="shared" si="12"/>
        <v>625</v>
      </c>
      <c r="AE11" s="41">
        <f t="shared" si="13"/>
        <v>78.125</v>
      </c>
      <c r="AF11" s="44" t="str">
        <f t="shared" si="14"/>
        <v>Very Good</v>
      </c>
      <c r="AG11" s="24"/>
    </row>
    <row r="12" spans="2:57" s="26" customFormat="1" ht="27.75" customHeight="1">
      <c r="B12" s="15">
        <v>5</v>
      </c>
      <c r="C12" s="16" t="s">
        <v>126</v>
      </c>
      <c r="D12" s="18" t="s">
        <v>127</v>
      </c>
      <c r="E12" s="14" t="s">
        <v>64</v>
      </c>
      <c r="F12" s="27">
        <v>13</v>
      </c>
      <c r="G12" s="27">
        <v>17</v>
      </c>
      <c r="H12" s="28">
        <v>3</v>
      </c>
      <c r="I12" s="27">
        <v>2</v>
      </c>
      <c r="J12" s="29">
        <v>2</v>
      </c>
      <c r="K12" s="29">
        <v>1</v>
      </c>
      <c r="L12" s="29">
        <v>2</v>
      </c>
      <c r="M12" s="29">
        <v>2</v>
      </c>
      <c r="N12" s="39">
        <f>F12*5</f>
        <v>65</v>
      </c>
      <c r="O12" s="39" t="str">
        <f t="shared" si="3"/>
        <v>B</v>
      </c>
      <c r="P12" s="39">
        <f t="shared" si="0"/>
        <v>85</v>
      </c>
      <c r="Q12" s="39" t="str">
        <f t="shared" si="4"/>
        <v>A+</v>
      </c>
      <c r="R12" s="39">
        <v>35</v>
      </c>
      <c r="S12" s="40" t="str">
        <f t="shared" si="6"/>
        <v>D</v>
      </c>
      <c r="T12" s="39">
        <v>35</v>
      </c>
      <c r="U12" s="40" t="str">
        <f t="shared" si="7"/>
        <v>D</v>
      </c>
      <c r="V12" s="39">
        <v>35</v>
      </c>
      <c r="W12" s="40" t="str">
        <f t="shared" si="8"/>
        <v>D</v>
      </c>
      <c r="X12" s="39">
        <v>35</v>
      </c>
      <c r="Y12" s="40" t="str">
        <f t="shared" si="9"/>
        <v>D</v>
      </c>
      <c r="Z12" s="39">
        <v>35</v>
      </c>
      <c r="AA12" s="40" t="str">
        <f t="shared" si="10"/>
        <v>D</v>
      </c>
      <c r="AB12" s="39">
        <v>35</v>
      </c>
      <c r="AC12" s="40" t="str">
        <f t="shared" si="11"/>
        <v>D</v>
      </c>
      <c r="AD12" s="39">
        <f>N12+P12+R12+T12+V12+X12+Z12+AB12</f>
        <v>360</v>
      </c>
      <c r="AE12" s="41">
        <f>AD12/8</f>
        <v>45</v>
      </c>
      <c r="AF12" s="44" t="str">
        <f t="shared" si="14"/>
        <v>Ordinary Pass</v>
      </c>
      <c r="AG12" s="24"/>
    </row>
    <row r="13" spans="2:57" s="26" customFormat="1" ht="27.75" customHeight="1">
      <c r="B13" s="15">
        <v>6</v>
      </c>
      <c r="C13" s="16" t="s">
        <v>128</v>
      </c>
      <c r="D13" s="18" t="s">
        <v>129</v>
      </c>
      <c r="E13" s="13" t="s">
        <v>66</v>
      </c>
      <c r="F13" s="22">
        <v>19</v>
      </c>
      <c r="G13" s="22">
        <v>16</v>
      </c>
      <c r="H13" s="23">
        <v>6</v>
      </c>
      <c r="I13" s="22">
        <v>5</v>
      </c>
      <c r="J13" s="24">
        <v>7</v>
      </c>
      <c r="K13" s="24">
        <v>8</v>
      </c>
      <c r="L13" s="24">
        <v>8</v>
      </c>
      <c r="M13" s="24">
        <v>9</v>
      </c>
      <c r="N13" s="39">
        <f t="shared" si="2"/>
        <v>95</v>
      </c>
      <c r="O13" s="39" t="str">
        <f t="shared" si="3"/>
        <v>A+</v>
      </c>
      <c r="P13" s="39">
        <f t="shared" si="0"/>
        <v>80</v>
      </c>
      <c r="Q13" s="39" t="str">
        <f t="shared" si="4"/>
        <v>A</v>
      </c>
      <c r="R13" s="39">
        <f t="shared" si="5"/>
        <v>60</v>
      </c>
      <c r="S13" s="40" t="str">
        <f t="shared" si="6"/>
        <v>B-</v>
      </c>
      <c r="T13" s="39">
        <f>I13*10</f>
        <v>50</v>
      </c>
      <c r="U13" s="40" t="str">
        <f t="shared" si="7"/>
        <v>C</v>
      </c>
      <c r="V13" s="39">
        <f t="shared" ref="V13:V29" si="15">J13*10</f>
        <v>70</v>
      </c>
      <c r="W13" s="40" t="str">
        <f t="shared" si="8"/>
        <v>B+</v>
      </c>
      <c r="X13" s="39">
        <f>K13*10</f>
        <v>80</v>
      </c>
      <c r="Y13" s="40" t="str">
        <f t="shared" si="9"/>
        <v>A</v>
      </c>
      <c r="Z13" s="39">
        <f>L13*10</f>
        <v>80</v>
      </c>
      <c r="AA13" s="40" t="str">
        <f t="shared" si="10"/>
        <v>A</v>
      </c>
      <c r="AB13" s="39">
        <f t="shared" ref="AB13:AB29" si="16">M13*10</f>
        <v>90</v>
      </c>
      <c r="AC13" s="40" t="str">
        <f t="shared" si="11"/>
        <v>A+</v>
      </c>
      <c r="AD13" s="39">
        <f t="shared" si="12"/>
        <v>605</v>
      </c>
      <c r="AE13" s="41">
        <f t="shared" si="13"/>
        <v>75.625</v>
      </c>
      <c r="AF13" s="44" t="str">
        <f t="shared" si="14"/>
        <v>Very Good</v>
      </c>
      <c r="AG13" s="24"/>
    </row>
    <row r="14" spans="2:57" s="26" customFormat="1" ht="27.75" customHeight="1">
      <c r="B14" s="15">
        <v>7</v>
      </c>
      <c r="C14" s="16" t="s">
        <v>130</v>
      </c>
      <c r="D14" s="18" t="s">
        <v>131</v>
      </c>
      <c r="E14" s="13" t="s">
        <v>69</v>
      </c>
      <c r="F14" s="22">
        <v>17</v>
      </c>
      <c r="G14" s="22">
        <v>14</v>
      </c>
      <c r="H14" s="23">
        <v>3</v>
      </c>
      <c r="I14" s="22">
        <v>1</v>
      </c>
      <c r="J14" s="24">
        <v>4</v>
      </c>
      <c r="K14" s="24">
        <v>3</v>
      </c>
      <c r="L14" s="24">
        <v>7</v>
      </c>
      <c r="M14" s="24">
        <v>6</v>
      </c>
      <c r="N14" s="39">
        <f t="shared" si="2"/>
        <v>85</v>
      </c>
      <c r="O14" s="39" t="str">
        <f t="shared" si="3"/>
        <v>A+</v>
      </c>
      <c r="P14" s="39">
        <f t="shared" si="0"/>
        <v>70</v>
      </c>
      <c r="Q14" s="39" t="str">
        <f t="shared" si="4"/>
        <v>B+</v>
      </c>
      <c r="R14" s="39">
        <v>35</v>
      </c>
      <c r="S14" s="40" t="str">
        <f t="shared" si="6"/>
        <v>D</v>
      </c>
      <c r="T14" s="39">
        <v>35</v>
      </c>
      <c r="U14" s="40" t="str">
        <f t="shared" si="7"/>
        <v>D</v>
      </c>
      <c r="V14" s="39">
        <f t="shared" si="15"/>
        <v>40</v>
      </c>
      <c r="W14" s="40" t="str">
        <f t="shared" si="8"/>
        <v>D+</v>
      </c>
      <c r="X14" s="39">
        <v>35</v>
      </c>
      <c r="Y14" s="40" t="str">
        <f t="shared" si="9"/>
        <v>D</v>
      </c>
      <c r="Z14" s="39">
        <f>L14*10</f>
        <v>70</v>
      </c>
      <c r="AA14" s="40" t="str">
        <f t="shared" si="10"/>
        <v>B+</v>
      </c>
      <c r="AB14" s="39">
        <f t="shared" si="16"/>
        <v>60</v>
      </c>
      <c r="AC14" s="40" t="str">
        <f t="shared" si="11"/>
        <v>B-</v>
      </c>
      <c r="AD14" s="39">
        <f>N14+P14+R14+T14+V14+X14+Z14+AB14</f>
        <v>430</v>
      </c>
      <c r="AE14" s="41">
        <f t="shared" si="13"/>
        <v>53.75</v>
      </c>
      <c r="AF14" s="44" t="str">
        <f t="shared" si="14"/>
        <v>Ordinary Pass</v>
      </c>
      <c r="AG14" s="24"/>
    </row>
    <row r="15" spans="2:57" s="26" customFormat="1" ht="27.75" customHeight="1">
      <c r="B15" s="15">
        <v>8</v>
      </c>
      <c r="C15" s="36" t="s">
        <v>132</v>
      </c>
      <c r="D15" s="19">
        <v>197976403289</v>
      </c>
      <c r="E15" s="13" t="s">
        <v>117</v>
      </c>
      <c r="F15" s="22"/>
      <c r="G15" s="22"/>
      <c r="H15" s="23"/>
      <c r="I15" s="22"/>
      <c r="J15" s="24"/>
      <c r="K15" s="24"/>
      <c r="L15" s="24"/>
      <c r="M15" s="24"/>
      <c r="N15" s="39" t="s">
        <v>267</v>
      </c>
      <c r="O15" s="39" t="s">
        <v>267</v>
      </c>
      <c r="P15" s="39" t="s">
        <v>267</v>
      </c>
      <c r="Q15" s="39" t="s">
        <v>267</v>
      </c>
      <c r="R15" s="39" t="s">
        <v>267</v>
      </c>
      <c r="S15" s="39" t="s">
        <v>267</v>
      </c>
      <c r="T15" s="39" t="s">
        <v>267</v>
      </c>
      <c r="U15" s="39" t="s">
        <v>267</v>
      </c>
      <c r="V15" s="39" t="s">
        <v>267</v>
      </c>
      <c r="W15" s="39" t="s">
        <v>267</v>
      </c>
      <c r="X15" s="39" t="s">
        <v>267</v>
      </c>
      <c r="Y15" s="39" t="s">
        <v>267</v>
      </c>
      <c r="Z15" s="39" t="s">
        <v>267</v>
      </c>
      <c r="AA15" s="39" t="s">
        <v>267</v>
      </c>
      <c r="AB15" s="39" t="s">
        <v>267</v>
      </c>
      <c r="AC15" s="39" t="s">
        <v>267</v>
      </c>
      <c r="AD15" s="39" t="s">
        <v>267</v>
      </c>
      <c r="AE15" s="39" t="s">
        <v>267</v>
      </c>
      <c r="AF15" s="44" t="s">
        <v>267</v>
      </c>
      <c r="AG15" s="24"/>
    </row>
    <row r="16" spans="2:57" s="26" customFormat="1" ht="27.75" customHeight="1">
      <c r="B16" s="15">
        <v>9</v>
      </c>
      <c r="C16" s="25" t="s">
        <v>133</v>
      </c>
      <c r="D16" s="19" t="s">
        <v>134</v>
      </c>
      <c r="E16" s="13" t="s">
        <v>118</v>
      </c>
      <c r="F16" s="22"/>
      <c r="G16" s="22"/>
      <c r="H16" s="23"/>
      <c r="I16" s="22"/>
      <c r="J16" s="24"/>
      <c r="K16" s="24"/>
      <c r="L16" s="24"/>
      <c r="M16" s="24"/>
      <c r="N16" s="39" t="s">
        <v>267</v>
      </c>
      <c r="O16" s="39" t="s">
        <v>267</v>
      </c>
      <c r="P16" s="39" t="s">
        <v>267</v>
      </c>
      <c r="Q16" s="39" t="s">
        <v>267</v>
      </c>
      <c r="R16" s="39" t="s">
        <v>267</v>
      </c>
      <c r="S16" s="39" t="s">
        <v>267</v>
      </c>
      <c r="T16" s="39" t="s">
        <v>267</v>
      </c>
      <c r="U16" s="39" t="s">
        <v>267</v>
      </c>
      <c r="V16" s="39" t="s">
        <v>267</v>
      </c>
      <c r="W16" s="39" t="s">
        <v>267</v>
      </c>
      <c r="X16" s="39" t="s">
        <v>267</v>
      </c>
      <c r="Y16" s="39" t="s">
        <v>267</v>
      </c>
      <c r="Z16" s="39" t="s">
        <v>267</v>
      </c>
      <c r="AA16" s="39" t="s">
        <v>267</v>
      </c>
      <c r="AB16" s="39" t="s">
        <v>267</v>
      </c>
      <c r="AC16" s="39" t="s">
        <v>267</v>
      </c>
      <c r="AD16" s="39" t="s">
        <v>267</v>
      </c>
      <c r="AE16" s="39" t="s">
        <v>267</v>
      </c>
      <c r="AF16" s="44" t="s">
        <v>267</v>
      </c>
      <c r="AG16" s="24"/>
    </row>
    <row r="17" spans="2:33" s="26" customFormat="1" ht="27.75" customHeight="1">
      <c r="B17" s="15">
        <v>10</v>
      </c>
      <c r="C17" s="16" t="s">
        <v>135</v>
      </c>
      <c r="D17" s="18" t="s">
        <v>136</v>
      </c>
      <c r="E17" s="13" t="s">
        <v>2</v>
      </c>
      <c r="F17" s="27">
        <v>12</v>
      </c>
      <c r="G17" s="27">
        <v>14</v>
      </c>
      <c r="H17" s="28">
        <v>7</v>
      </c>
      <c r="I17" s="27">
        <v>8</v>
      </c>
      <c r="J17" s="29">
        <v>5</v>
      </c>
      <c r="K17" s="29">
        <v>5</v>
      </c>
      <c r="L17" s="29">
        <v>3</v>
      </c>
      <c r="M17" s="29">
        <v>4</v>
      </c>
      <c r="N17" s="39">
        <f t="shared" si="2"/>
        <v>60</v>
      </c>
      <c r="O17" s="39" t="str">
        <f t="shared" si="3"/>
        <v>B-</v>
      </c>
      <c r="P17" s="39">
        <f t="shared" ref="P17:P24" si="17">G17*5</f>
        <v>70</v>
      </c>
      <c r="Q17" s="39" t="str">
        <f t="shared" si="4"/>
        <v>B+</v>
      </c>
      <c r="R17" s="39">
        <f t="shared" si="5"/>
        <v>70</v>
      </c>
      <c r="S17" s="40" t="str">
        <f t="shared" si="6"/>
        <v>B+</v>
      </c>
      <c r="T17" s="39">
        <f t="shared" ref="T17:T29" si="18">I17*10</f>
        <v>80</v>
      </c>
      <c r="U17" s="40" t="str">
        <f t="shared" si="7"/>
        <v>A</v>
      </c>
      <c r="V17" s="39">
        <f t="shared" si="15"/>
        <v>50</v>
      </c>
      <c r="W17" s="40" t="str">
        <f t="shared" si="8"/>
        <v>C</v>
      </c>
      <c r="X17" s="39">
        <f t="shared" ref="X17:X29" si="19">K17*10</f>
        <v>50</v>
      </c>
      <c r="Y17" s="40" t="str">
        <f t="shared" si="9"/>
        <v>C</v>
      </c>
      <c r="Z17" s="39">
        <v>35</v>
      </c>
      <c r="AA17" s="40" t="str">
        <f t="shared" si="10"/>
        <v>D</v>
      </c>
      <c r="AB17" s="39">
        <f t="shared" si="16"/>
        <v>40</v>
      </c>
      <c r="AC17" s="40" t="str">
        <f t="shared" si="11"/>
        <v>D+</v>
      </c>
      <c r="AD17" s="39">
        <f t="shared" si="12"/>
        <v>455</v>
      </c>
      <c r="AE17" s="41">
        <f t="shared" si="13"/>
        <v>56.875</v>
      </c>
      <c r="AF17" s="44" t="str">
        <f t="shared" si="14"/>
        <v>Credit Pass</v>
      </c>
      <c r="AG17" s="24"/>
    </row>
    <row r="18" spans="2:33" s="26" customFormat="1" ht="27.75" customHeight="1">
      <c r="B18" s="15">
        <v>11</v>
      </c>
      <c r="C18" s="16" t="s">
        <v>137</v>
      </c>
      <c r="D18" s="18" t="s">
        <v>138</v>
      </c>
      <c r="E18" s="14" t="s">
        <v>1</v>
      </c>
      <c r="F18" s="22">
        <v>14</v>
      </c>
      <c r="G18" s="22">
        <v>11</v>
      </c>
      <c r="H18" s="23">
        <v>6</v>
      </c>
      <c r="I18" s="22">
        <v>6</v>
      </c>
      <c r="J18" s="24">
        <v>7</v>
      </c>
      <c r="K18" s="24">
        <v>8</v>
      </c>
      <c r="L18" s="24">
        <v>8</v>
      </c>
      <c r="M18" s="24">
        <v>8</v>
      </c>
      <c r="N18" s="39">
        <f t="shared" si="2"/>
        <v>70</v>
      </c>
      <c r="O18" s="39" t="str">
        <f t="shared" si="3"/>
        <v>B+</v>
      </c>
      <c r="P18" s="39">
        <f t="shared" si="17"/>
        <v>55</v>
      </c>
      <c r="Q18" s="39" t="str">
        <f t="shared" si="4"/>
        <v>C+</v>
      </c>
      <c r="R18" s="39">
        <f t="shared" si="5"/>
        <v>60</v>
      </c>
      <c r="S18" s="40" t="str">
        <f t="shared" si="6"/>
        <v>B-</v>
      </c>
      <c r="T18" s="39">
        <f t="shared" si="18"/>
        <v>60</v>
      </c>
      <c r="U18" s="40" t="str">
        <f t="shared" si="7"/>
        <v>B-</v>
      </c>
      <c r="V18" s="39">
        <f t="shared" si="15"/>
        <v>70</v>
      </c>
      <c r="W18" s="40" t="str">
        <f t="shared" si="8"/>
        <v>B+</v>
      </c>
      <c r="X18" s="39">
        <f t="shared" si="19"/>
        <v>80</v>
      </c>
      <c r="Y18" s="40" t="str">
        <f t="shared" si="9"/>
        <v>A</v>
      </c>
      <c r="Z18" s="39">
        <f>L18*10</f>
        <v>80</v>
      </c>
      <c r="AA18" s="40" t="str">
        <f t="shared" si="10"/>
        <v>A</v>
      </c>
      <c r="AB18" s="39">
        <f t="shared" si="16"/>
        <v>80</v>
      </c>
      <c r="AC18" s="40" t="str">
        <f t="shared" si="11"/>
        <v>A</v>
      </c>
      <c r="AD18" s="39">
        <f t="shared" si="12"/>
        <v>555</v>
      </c>
      <c r="AE18" s="41">
        <f t="shared" si="13"/>
        <v>69.375</v>
      </c>
      <c r="AF18" s="44" t="str">
        <f t="shared" si="14"/>
        <v>Credit Pass</v>
      </c>
      <c r="AG18" s="24"/>
    </row>
    <row r="19" spans="2:33" s="26" customFormat="1" ht="27.75" customHeight="1">
      <c r="B19" s="15">
        <v>12</v>
      </c>
      <c r="C19" s="16" t="s">
        <v>139</v>
      </c>
      <c r="D19" s="18" t="s">
        <v>140</v>
      </c>
      <c r="E19" s="13" t="s">
        <v>36</v>
      </c>
      <c r="F19" s="22">
        <v>19</v>
      </c>
      <c r="G19" s="22">
        <v>14</v>
      </c>
      <c r="H19" s="23">
        <v>8</v>
      </c>
      <c r="I19" s="22">
        <v>8</v>
      </c>
      <c r="J19" s="24">
        <v>9</v>
      </c>
      <c r="K19" s="24">
        <v>8</v>
      </c>
      <c r="L19" s="24">
        <v>9</v>
      </c>
      <c r="M19" s="24">
        <v>10</v>
      </c>
      <c r="N19" s="39">
        <f t="shared" si="2"/>
        <v>95</v>
      </c>
      <c r="O19" s="39" t="str">
        <f t="shared" si="3"/>
        <v>A+</v>
      </c>
      <c r="P19" s="39">
        <f t="shared" si="17"/>
        <v>70</v>
      </c>
      <c r="Q19" s="39" t="str">
        <f t="shared" si="4"/>
        <v>B+</v>
      </c>
      <c r="R19" s="39">
        <f t="shared" si="5"/>
        <v>80</v>
      </c>
      <c r="S19" s="40" t="str">
        <f t="shared" si="6"/>
        <v>A</v>
      </c>
      <c r="T19" s="39">
        <f t="shared" si="18"/>
        <v>80</v>
      </c>
      <c r="U19" s="40" t="str">
        <f t="shared" si="7"/>
        <v>A</v>
      </c>
      <c r="V19" s="39">
        <f t="shared" si="15"/>
        <v>90</v>
      </c>
      <c r="W19" s="40" t="str">
        <f t="shared" si="8"/>
        <v>A+</v>
      </c>
      <c r="X19" s="39">
        <f t="shared" si="19"/>
        <v>80</v>
      </c>
      <c r="Y19" s="40" t="str">
        <f t="shared" si="9"/>
        <v>A</v>
      </c>
      <c r="Z19" s="39">
        <f>L19*10</f>
        <v>90</v>
      </c>
      <c r="AA19" s="40" t="str">
        <f t="shared" si="10"/>
        <v>A+</v>
      </c>
      <c r="AB19" s="39">
        <f t="shared" si="16"/>
        <v>100</v>
      </c>
      <c r="AC19" s="40" t="str">
        <f t="shared" si="11"/>
        <v>A+</v>
      </c>
      <c r="AD19" s="39">
        <f t="shared" si="12"/>
        <v>685</v>
      </c>
      <c r="AE19" s="41">
        <f t="shared" si="13"/>
        <v>85.625</v>
      </c>
      <c r="AF19" s="44" t="str">
        <f t="shared" si="14"/>
        <v>Excellent Pass</v>
      </c>
      <c r="AG19" s="24"/>
    </row>
    <row r="20" spans="2:33" s="26" customFormat="1" ht="27.75" customHeight="1">
      <c r="B20" s="15">
        <v>13</v>
      </c>
      <c r="C20" s="16" t="s">
        <v>141</v>
      </c>
      <c r="D20" s="18">
        <v>198075300313</v>
      </c>
      <c r="E20" s="13" t="s">
        <v>34</v>
      </c>
      <c r="F20" s="22">
        <v>18</v>
      </c>
      <c r="G20" s="22">
        <v>17</v>
      </c>
      <c r="H20" s="23">
        <v>4</v>
      </c>
      <c r="I20" s="22">
        <v>5</v>
      </c>
      <c r="J20" s="24">
        <v>7</v>
      </c>
      <c r="K20" s="24">
        <v>6</v>
      </c>
      <c r="L20" s="24">
        <v>3</v>
      </c>
      <c r="M20" s="24">
        <v>5</v>
      </c>
      <c r="N20" s="39">
        <f t="shared" si="2"/>
        <v>90</v>
      </c>
      <c r="O20" s="39" t="str">
        <f t="shared" si="3"/>
        <v>A+</v>
      </c>
      <c r="P20" s="39">
        <f t="shared" si="17"/>
        <v>85</v>
      </c>
      <c r="Q20" s="39" t="str">
        <f t="shared" si="4"/>
        <v>A+</v>
      </c>
      <c r="R20" s="39">
        <f t="shared" si="5"/>
        <v>40</v>
      </c>
      <c r="S20" s="40" t="str">
        <f t="shared" si="6"/>
        <v>D+</v>
      </c>
      <c r="T20" s="39">
        <f t="shared" si="18"/>
        <v>50</v>
      </c>
      <c r="U20" s="40" t="str">
        <f t="shared" si="7"/>
        <v>C</v>
      </c>
      <c r="V20" s="39">
        <f t="shared" si="15"/>
        <v>70</v>
      </c>
      <c r="W20" s="40" t="str">
        <f t="shared" si="8"/>
        <v>B+</v>
      </c>
      <c r="X20" s="39">
        <f t="shared" si="19"/>
        <v>60</v>
      </c>
      <c r="Y20" s="40" t="str">
        <f t="shared" si="9"/>
        <v>B-</v>
      </c>
      <c r="Z20" s="39">
        <v>35</v>
      </c>
      <c r="AA20" s="40" t="str">
        <f t="shared" si="10"/>
        <v>D</v>
      </c>
      <c r="AB20" s="39">
        <f t="shared" si="16"/>
        <v>50</v>
      </c>
      <c r="AC20" s="40" t="str">
        <f t="shared" si="11"/>
        <v>C</v>
      </c>
      <c r="AD20" s="39">
        <f t="shared" si="12"/>
        <v>480</v>
      </c>
      <c r="AE20" s="41">
        <f t="shared" si="13"/>
        <v>60</v>
      </c>
      <c r="AF20" s="44" t="str">
        <f t="shared" si="14"/>
        <v>Credit Pass</v>
      </c>
      <c r="AG20" s="24"/>
    </row>
    <row r="21" spans="2:33" s="26" customFormat="1" ht="27.75" customHeight="1">
      <c r="B21" s="15">
        <v>14</v>
      </c>
      <c r="C21" s="16" t="s">
        <v>142</v>
      </c>
      <c r="D21" s="18" t="s">
        <v>143</v>
      </c>
      <c r="E21" s="13" t="s">
        <v>12</v>
      </c>
      <c r="F21" s="22">
        <v>20</v>
      </c>
      <c r="G21" s="22">
        <v>18</v>
      </c>
      <c r="H21" s="23">
        <v>7</v>
      </c>
      <c r="I21" s="22">
        <v>7</v>
      </c>
      <c r="J21" s="24">
        <v>8</v>
      </c>
      <c r="K21" s="24">
        <v>9</v>
      </c>
      <c r="L21" s="24">
        <v>9</v>
      </c>
      <c r="M21" s="24">
        <v>10</v>
      </c>
      <c r="N21" s="39">
        <f t="shared" si="2"/>
        <v>100</v>
      </c>
      <c r="O21" s="39" t="str">
        <f t="shared" si="3"/>
        <v>A+</v>
      </c>
      <c r="P21" s="39">
        <f t="shared" si="17"/>
        <v>90</v>
      </c>
      <c r="Q21" s="39" t="str">
        <f t="shared" si="4"/>
        <v>A+</v>
      </c>
      <c r="R21" s="39">
        <f t="shared" si="5"/>
        <v>70</v>
      </c>
      <c r="S21" s="40" t="str">
        <f t="shared" si="6"/>
        <v>B+</v>
      </c>
      <c r="T21" s="39">
        <f t="shared" si="18"/>
        <v>70</v>
      </c>
      <c r="U21" s="40" t="str">
        <f t="shared" si="7"/>
        <v>B+</v>
      </c>
      <c r="V21" s="39">
        <f t="shared" si="15"/>
        <v>80</v>
      </c>
      <c r="W21" s="40" t="str">
        <f t="shared" si="8"/>
        <v>A</v>
      </c>
      <c r="X21" s="39">
        <f t="shared" si="19"/>
        <v>90</v>
      </c>
      <c r="Y21" s="40" t="str">
        <f t="shared" si="9"/>
        <v>A+</v>
      </c>
      <c r="Z21" s="39">
        <f t="shared" ref="Z21:Z29" si="20">L21*10</f>
        <v>90</v>
      </c>
      <c r="AA21" s="40" t="str">
        <f t="shared" si="10"/>
        <v>A+</v>
      </c>
      <c r="AB21" s="39">
        <f t="shared" si="16"/>
        <v>100</v>
      </c>
      <c r="AC21" s="40" t="str">
        <f t="shared" si="11"/>
        <v>A+</v>
      </c>
      <c r="AD21" s="39">
        <f t="shared" si="12"/>
        <v>690</v>
      </c>
      <c r="AE21" s="41">
        <f t="shared" si="13"/>
        <v>86.25</v>
      </c>
      <c r="AF21" s="44" t="str">
        <f t="shared" si="14"/>
        <v>Excellent Pass</v>
      </c>
      <c r="AG21" s="24"/>
    </row>
    <row r="22" spans="2:33" s="26" customFormat="1" ht="27.75" customHeight="1">
      <c r="B22" s="15">
        <v>15</v>
      </c>
      <c r="C22" s="16" t="s">
        <v>144</v>
      </c>
      <c r="D22" s="18">
        <v>197153800552</v>
      </c>
      <c r="E22" s="13" t="s">
        <v>43</v>
      </c>
      <c r="F22" s="22">
        <v>16</v>
      </c>
      <c r="G22" s="22">
        <v>14</v>
      </c>
      <c r="H22" s="23">
        <v>8</v>
      </c>
      <c r="I22" s="22">
        <v>8</v>
      </c>
      <c r="J22" s="24">
        <v>8</v>
      </c>
      <c r="K22" s="24">
        <v>8</v>
      </c>
      <c r="L22" s="24">
        <v>9</v>
      </c>
      <c r="M22" s="24">
        <v>9</v>
      </c>
      <c r="N22" s="39">
        <f t="shared" si="2"/>
        <v>80</v>
      </c>
      <c r="O22" s="39" t="str">
        <f t="shared" si="3"/>
        <v>A</v>
      </c>
      <c r="P22" s="39">
        <f t="shared" si="17"/>
        <v>70</v>
      </c>
      <c r="Q22" s="39" t="str">
        <f t="shared" si="4"/>
        <v>B+</v>
      </c>
      <c r="R22" s="39">
        <f t="shared" si="5"/>
        <v>80</v>
      </c>
      <c r="S22" s="40" t="str">
        <f t="shared" si="6"/>
        <v>A</v>
      </c>
      <c r="T22" s="39">
        <f t="shared" si="18"/>
        <v>80</v>
      </c>
      <c r="U22" s="40" t="str">
        <f t="shared" si="7"/>
        <v>A</v>
      </c>
      <c r="V22" s="39">
        <f t="shared" si="15"/>
        <v>80</v>
      </c>
      <c r="W22" s="40" t="str">
        <f t="shared" si="8"/>
        <v>A</v>
      </c>
      <c r="X22" s="39">
        <f t="shared" si="19"/>
        <v>80</v>
      </c>
      <c r="Y22" s="40" t="str">
        <f t="shared" si="9"/>
        <v>A</v>
      </c>
      <c r="Z22" s="39">
        <f t="shared" si="20"/>
        <v>90</v>
      </c>
      <c r="AA22" s="40" t="str">
        <f t="shared" si="10"/>
        <v>A+</v>
      </c>
      <c r="AB22" s="39">
        <f t="shared" si="16"/>
        <v>90</v>
      </c>
      <c r="AC22" s="40" t="str">
        <f t="shared" si="11"/>
        <v>A+</v>
      </c>
      <c r="AD22" s="39">
        <f t="shared" si="12"/>
        <v>650</v>
      </c>
      <c r="AE22" s="41">
        <f t="shared" si="13"/>
        <v>81.25</v>
      </c>
      <c r="AF22" s="44" t="str">
        <f t="shared" si="14"/>
        <v>Very Good</v>
      </c>
      <c r="AG22" s="24"/>
    </row>
    <row r="23" spans="2:33" s="26" customFormat="1" ht="27.75" customHeight="1">
      <c r="B23" s="15">
        <v>16</v>
      </c>
      <c r="C23" s="16" t="s">
        <v>145</v>
      </c>
      <c r="D23" s="18">
        <v>198227802310</v>
      </c>
      <c r="E23" s="13" t="s">
        <v>19</v>
      </c>
      <c r="F23" s="22">
        <v>14</v>
      </c>
      <c r="G23" s="22">
        <v>14</v>
      </c>
      <c r="H23" s="23">
        <v>8</v>
      </c>
      <c r="I23" s="22">
        <v>8</v>
      </c>
      <c r="J23" s="24">
        <v>8</v>
      </c>
      <c r="K23" s="24">
        <v>8</v>
      </c>
      <c r="L23" s="24">
        <v>9</v>
      </c>
      <c r="M23" s="24">
        <v>8</v>
      </c>
      <c r="N23" s="39">
        <f t="shared" si="2"/>
        <v>70</v>
      </c>
      <c r="O23" s="39" t="str">
        <f t="shared" si="3"/>
        <v>B+</v>
      </c>
      <c r="P23" s="39">
        <f t="shared" si="17"/>
        <v>70</v>
      </c>
      <c r="Q23" s="39" t="str">
        <f t="shared" si="4"/>
        <v>B+</v>
      </c>
      <c r="R23" s="39">
        <f t="shared" si="5"/>
        <v>80</v>
      </c>
      <c r="S23" s="40" t="str">
        <f t="shared" si="6"/>
        <v>A</v>
      </c>
      <c r="T23" s="39">
        <f t="shared" si="18"/>
        <v>80</v>
      </c>
      <c r="U23" s="40" t="str">
        <f t="shared" si="7"/>
        <v>A</v>
      </c>
      <c r="V23" s="39">
        <f t="shared" si="15"/>
        <v>80</v>
      </c>
      <c r="W23" s="40" t="str">
        <f t="shared" si="8"/>
        <v>A</v>
      </c>
      <c r="X23" s="39">
        <f t="shared" si="19"/>
        <v>80</v>
      </c>
      <c r="Y23" s="40" t="str">
        <f t="shared" si="9"/>
        <v>A</v>
      </c>
      <c r="Z23" s="39">
        <f t="shared" si="20"/>
        <v>90</v>
      </c>
      <c r="AA23" s="40" t="str">
        <f t="shared" si="10"/>
        <v>A+</v>
      </c>
      <c r="AB23" s="39">
        <f t="shared" si="16"/>
        <v>80</v>
      </c>
      <c r="AC23" s="40" t="str">
        <f t="shared" si="11"/>
        <v>A</v>
      </c>
      <c r="AD23" s="39">
        <f t="shared" si="12"/>
        <v>630</v>
      </c>
      <c r="AE23" s="41">
        <f t="shared" si="13"/>
        <v>78.75</v>
      </c>
      <c r="AF23" s="44" t="str">
        <f t="shared" si="14"/>
        <v>Very Good</v>
      </c>
      <c r="AG23" s="24"/>
    </row>
    <row r="24" spans="2:33" s="26" customFormat="1" ht="27.75" customHeight="1">
      <c r="B24" s="15">
        <v>17</v>
      </c>
      <c r="C24" s="16" t="s">
        <v>146</v>
      </c>
      <c r="D24" s="18" t="s">
        <v>147</v>
      </c>
      <c r="E24" s="14" t="s">
        <v>5</v>
      </c>
      <c r="F24" s="22">
        <v>19</v>
      </c>
      <c r="G24" s="22">
        <v>19</v>
      </c>
      <c r="H24" s="23">
        <v>9</v>
      </c>
      <c r="I24" s="22">
        <v>8</v>
      </c>
      <c r="J24" s="24">
        <v>9</v>
      </c>
      <c r="K24" s="24">
        <v>9</v>
      </c>
      <c r="L24" s="24">
        <v>8</v>
      </c>
      <c r="M24" s="24">
        <v>10</v>
      </c>
      <c r="N24" s="39">
        <f t="shared" si="2"/>
        <v>95</v>
      </c>
      <c r="O24" s="39" t="str">
        <f t="shared" si="3"/>
        <v>A+</v>
      </c>
      <c r="P24" s="39">
        <f t="shared" si="17"/>
        <v>95</v>
      </c>
      <c r="Q24" s="39" t="str">
        <f t="shared" si="4"/>
        <v>A+</v>
      </c>
      <c r="R24" s="39">
        <f t="shared" si="5"/>
        <v>90</v>
      </c>
      <c r="S24" s="40" t="str">
        <f t="shared" si="6"/>
        <v>A+</v>
      </c>
      <c r="T24" s="39">
        <f t="shared" si="18"/>
        <v>80</v>
      </c>
      <c r="U24" s="40" t="str">
        <f t="shared" si="7"/>
        <v>A</v>
      </c>
      <c r="V24" s="39">
        <f t="shared" si="15"/>
        <v>90</v>
      </c>
      <c r="W24" s="40" t="str">
        <f t="shared" si="8"/>
        <v>A+</v>
      </c>
      <c r="X24" s="39">
        <f t="shared" si="19"/>
        <v>90</v>
      </c>
      <c r="Y24" s="40" t="str">
        <f t="shared" si="9"/>
        <v>A+</v>
      </c>
      <c r="Z24" s="39">
        <f t="shared" si="20"/>
        <v>80</v>
      </c>
      <c r="AA24" s="40" t="str">
        <f t="shared" si="10"/>
        <v>A</v>
      </c>
      <c r="AB24" s="39">
        <f t="shared" si="16"/>
        <v>100</v>
      </c>
      <c r="AC24" s="40" t="str">
        <f t="shared" si="11"/>
        <v>A+</v>
      </c>
      <c r="AD24" s="39">
        <f t="shared" si="12"/>
        <v>720</v>
      </c>
      <c r="AE24" s="41">
        <f t="shared" si="13"/>
        <v>90</v>
      </c>
      <c r="AF24" s="44" t="str">
        <f t="shared" si="14"/>
        <v>Excellent Pass</v>
      </c>
      <c r="AG24" s="24"/>
    </row>
    <row r="25" spans="2:33" s="26" customFormat="1" ht="27.75" customHeight="1">
      <c r="B25" s="15">
        <v>18</v>
      </c>
      <c r="C25" s="16" t="s">
        <v>82</v>
      </c>
      <c r="D25" s="19">
        <v>196875700588</v>
      </c>
      <c r="E25" s="13" t="s">
        <v>83</v>
      </c>
      <c r="F25" s="22"/>
      <c r="G25" s="22"/>
      <c r="H25" s="23"/>
      <c r="I25" s="22"/>
      <c r="J25" s="24"/>
      <c r="K25" s="24"/>
      <c r="L25" s="24"/>
      <c r="M25" s="24"/>
      <c r="N25" s="39" t="s">
        <v>267</v>
      </c>
      <c r="O25" s="39" t="s">
        <v>267</v>
      </c>
      <c r="P25" s="39" t="s">
        <v>267</v>
      </c>
      <c r="Q25" s="39" t="s">
        <v>267</v>
      </c>
      <c r="R25" s="39" t="s">
        <v>267</v>
      </c>
      <c r="S25" s="39" t="s">
        <v>267</v>
      </c>
      <c r="T25" s="39" t="s">
        <v>267</v>
      </c>
      <c r="U25" s="39" t="s">
        <v>267</v>
      </c>
      <c r="V25" s="39" t="s">
        <v>267</v>
      </c>
      <c r="W25" s="39" t="s">
        <v>267</v>
      </c>
      <c r="X25" s="39" t="s">
        <v>267</v>
      </c>
      <c r="Y25" s="39" t="s">
        <v>267</v>
      </c>
      <c r="Z25" s="39" t="s">
        <v>267</v>
      </c>
      <c r="AA25" s="39" t="s">
        <v>267</v>
      </c>
      <c r="AB25" s="39" t="s">
        <v>267</v>
      </c>
      <c r="AC25" s="39" t="s">
        <v>267</v>
      </c>
      <c r="AD25" s="39" t="s">
        <v>267</v>
      </c>
      <c r="AE25" s="39" t="s">
        <v>267</v>
      </c>
      <c r="AF25" s="44" t="s">
        <v>267</v>
      </c>
      <c r="AG25" s="24"/>
    </row>
    <row r="26" spans="2:33" s="26" customFormat="1" ht="27.75" customHeight="1">
      <c r="B26" s="15">
        <v>19</v>
      </c>
      <c r="C26" s="16" t="s">
        <v>84</v>
      </c>
      <c r="D26" s="18" t="s">
        <v>148</v>
      </c>
      <c r="E26" s="13" t="s">
        <v>30</v>
      </c>
      <c r="F26" s="22">
        <v>18</v>
      </c>
      <c r="G26" s="22">
        <v>14</v>
      </c>
      <c r="H26" s="23">
        <v>6</v>
      </c>
      <c r="I26" s="22">
        <v>7</v>
      </c>
      <c r="J26" s="24">
        <v>8</v>
      </c>
      <c r="K26" s="24">
        <v>8</v>
      </c>
      <c r="L26" s="24">
        <v>6</v>
      </c>
      <c r="M26" s="24">
        <v>5</v>
      </c>
      <c r="N26" s="39">
        <f t="shared" si="2"/>
        <v>90</v>
      </c>
      <c r="O26" s="39" t="str">
        <f t="shared" si="3"/>
        <v>A+</v>
      </c>
      <c r="P26" s="39">
        <f>G26*5</f>
        <v>70</v>
      </c>
      <c r="Q26" s="39" t="str">
        <f t="shared" si="4"/>
        <v>B+</v>
      </c>
      <c r="R26" s="39">
        <f t="shared" si="5"/>
        <v>60</v>
      </c>
      <c r="S26" s="40" t="str">
        <f t="shared" si="6"/>
        <v>B-</v>
      </c>
      <c r="T26" s="39">
        <f t="shared" si="18"/>
        <v>70</v>
      </c>
      <c r="U26" s="40" t="str">
        <f t="shared" si="7"/>
        <v>B+</v>
      </c>
      <c r="V26" s="39">
        <f t="shared" si="15"/>
        <v>80</v>
      </c>
      <c r="W26" s="40" t="str">
        <f t="shared" si="8"/>
        <v>A</v>
      </c>
      <c r="X26" s="39">
        <f t="shared" si="19"/>
        <v>80</v>
      </c>
      <c r="Y26" s="40" t="str">
        <f t="shared" si="9"/>
        <v>A</v>
      </c>
      <c r="Z26" s="39">
        <f t="shared" si="20"/>
        <v>60</v>
      </c>
      <c r="AA26" s="40" t="str">
        <f t="shared" si="10"/>
        <v>B-</v>
      </c>
      <c r="AB26" s="39">
        <f t="shared" si="16"/>
        <v>50</v>
      </c>
      <c r="AC26" s="40" t="str">
        <f t="shared" si="11"/>
        <v>C</v>
      </c>
      <c r="AD26" s="39">
        <f t="shared" si="12"/>
        <v>560</v>
      </c>
      <c r="AE26" s="41">
        <f t="shared" si="13"/>
        <v>70</v>
      </c>
      <c r="AF26" s="44" t="str">
        <f t="shared" si="14"/>
        <v>Very Good</v>
      </c>
      <c r="AG26" s="24"/>
    </row>
    <row r="27" spans="2:33" s="26" customFormat="1" ht="18" customHeight="1">
      <c r="B27" s="15">
        <v>20</v>
      </c>
      <c r="C27" s="16" t="s">
        <v>149</v>
      </c>
      <c r="D27" s="18" t="s">
        <v>150</v>
      </c>
      <c r="E27" s="13" t="s">
        <v>7</v>
      </c>
      <c r="F27" s="22">
        <v>19</v>
      </c>
      <c r="G27" s="22">
        <v>18</v>
      </c>
      <c r="H27" s="23">
        <v>8</v>
      </c>
      <c r="I27" s="22">
        <v>9</v>
      </c>
      <c r="J27" s="24">
        <v>9</v>
      </c>
      <c r="K27" s="24">
        <v>9</v>
      </c>
      <c r="L27" s="24">
        <v>10</v>
      </c>
      <c r="M27" s="24">
        <v>10</v>
      </c>
      <c r="N27" s="39">
        <f t="shared" si="2"/>
        <v>95</v>
      </c>
      <c r="O27" s="39" t="str">
        <f t="shared" si="3"/>
        <v>A+</v>
      </c>
      <c r="P27" s="39">
        <f>G27*5</f>
        <v>90</v>
      </c>
      <c r="Q27" s="39" t="str">
        <f t="shared" si="4"/>
        <v>A+</v>
      </c>
      <c r="R27" s="39">
        <f t="shared" si="5"/>
        <v>80</v>
      </c>
      <c r="S27" s="40" t="str">
        <f t="shared" si="6"/>
        <v>A</v>
      </c>
      <c r="T27" s="39">
        <f t="shared" si="18"/>
        <v>90</v>
      </c>
      <c r="U27" s="40" t="str">
        <f t="shared" si="7"/>
        <v>A+</v>
      </c>
      <c r="V27" s="39">
        <f t="shared" si="15"/>
        <v>90</v>
      </c>
      <c r="W27" s="40" t="str">
        <f t="shared" si="8"/>
        <v>A+</v>
      </c>
      <c r="X27" s="39">
        <f t="shared" si="19"/>
        <v>90</v>
      </c>
      <c r="Y27" s="40" t="str">
        <f t="shared" si="9"/>
        <v>A+</v>
      </c>
      <c r="Z27" s="39">
        <f t="shared" si="20"/>
        <v>100</v>
      </c>
      <c r="AA27" s="40" t="str">
        <f t="shared" si="10"/>
        <v>A+</v>
      </c>
      <c r="AB27" s="39">
        <f t="shared" si="16"/>
        <v>100</v>
      </c>
      <c r="AC27" s="40" t="str">
        <f t="shared" si="11"/>
        <v>A+</v>
      </c>
      <c r="AD27" s="39">
        <f t="shared" si="12"/>
        <v>735</v>
      </c>
      <c r="AE27" s="41">
        <f t="shared" si="13"/>
        <v>91.875</v>
      </c>
      <c r="AF27" s="44" t="str">
        <f t="shared" si="14"/>
        <v>Excellent Pass</v>
      </c>
      <c r="AG27" s="24"/>
    </row>
    <row r="28" spans="2:33" s="26" customFormat="1" ht="21" customHeight="1">
      <c r="B28" s="15">
        <v>21</v>
      </c>
      <c r="C28" s="16" t="s">
        <v>151</v>
      </c>
      <c r="D28" s="18">
        <v>197959000772</v>
      </c>
      <c r="E28" s="13" t="s">
        <v>23</v>
      </c>
      <c r="F28" s="22">
        <v>14</v>
      </c>
      <c r="G28" s="22">
        <v>14</v>
      </c>
      <c r="H28" s="23">
        <v>6</v>
      </c>
      <c r="I28" s="22">
        <v>5</v>
      </c>
      <c r="J28" s="24">
        <v>8</v>
      </c>
      <c r="K28" s="24">
        <v>8</v>
      </c>
      <c r="L28" s="24">
        <v>9</v>
      </c>
      <c r="M28" s="24">
        <v>9</v>
      </c>
      <c r="N28" s="39">
        <f t="shared" si="2"/>
        <v>70</v>
      </c>
      <c r="O28" s="39" t="str">
        <f>IF(N28="-", "Absent", IF(N28&gt;=85, "A+", IF(N28&gt;=80, "A", IF(N28&gt;=75, "A-", IF(N28&gt;=70, "B+",IF(N28&gt;=65, "B", IF(N28&gt;=60, "B-", IF(N28&gt;=55, "C+", IF(N28&gt;=50, "C", IF(N28&gt;=45, "C-", IF(N28&gt;=39, "D+", IF(N28&gt;=35, "D", IF(N28&gt;=0, "F" )))))))))))))</f>
        <v>B+</v>
      </c>
      <c r="P28" s="39">
        <f t="shared" ref="P28:P36" si="21">G28*5</f>
        <v>70</v>
      </c>
      <c r="Q28" s="39" t="str">
        <f>IF(P28="-", "Absent", IF(P28&gt;=85, "A+", IF(P28&gt;=80, "A", IF(P28&gt;=75, "A-", IF(P28&gt;=70, "B+",IF(P28&gt;=65, "B", IF(P28&gt;=60, "B-", IF(P28&gt;=55, "C+", IF(P28&gt;=50, "C", IF(P28&gt;=45, "C-", IF(P28&gt;=39, "D+", IF(P28&gt;=35, "D", IF(P28&gt;=0, "F" )))))))))))))</f>
        <v>B+</v>
      </c>
      <c r="R28" s="39">
        <f t="shared" si="5"/>
        <v>60</v>
      </c>
      <c r="S28" s="40" t="str">
        <f t="shared" si="6"/>
        <v>B-</v>
      </c>
      <c r="T28" s="39">
        <f t="shared" si="18"/>
        <v>50</v>
      </c>
      <c r="U28" s="40" t="str">
        <f t="shared" si="7"/>
        <v>C</v>
      </c>
      <c r="V28" s="39">
        <f t="shared" si="15"/>
        <v>80</v>
      </c>
      <c r="W28" s="40" t="str">
        <f t="shared" si="8"/>
        <v>A</v>
      </c>
      <c r="X28" s="39">
        <f t="shared" si="19"/>
        <v>80</v>
      </c>
      <c r="Y28" s="40" t="str">
        <f t="shared" si="9"/>
        <v>A</v>
      </c>
      <c r="Z28" s="39">
        <f t="shared" si="20"/>
        <v>90</v>
      </c>
      <c r="AA28" s="40" t="str">
        <f t="shared" si="10"/>
        <v>A+</v>
      </c>
      <c r="AB28" s="39">
        <f t="shared" si="16"/>
        <v>90</v>
      </c>
      <c r="AC28" s="40" t="str">
        <f t="shared" si="11"/>
        <v>A+</v>
      </c>
      <c r="AD28" s="39">
        <f t="shared" si="12"/>
        <v>590</v>
      </c>
      <c r="AE28" s="41">
        <f t="shared" si="13"/>
        <v>73.75</v>
      </c>
      <c r="AF28" s="44" t="str">
        <f t="shared" ref="AF28:AF47" si="22">IF(AE28="-", "Absent", IF(AE28&gt;=85, "Excellent Pass", IF(AE28&gt;=70, "Very Good", IF(AE28&gt;=55, "Credit Pass", IF(AE28&gt;=40, "Ordinary Pass",IF(AE28&gt;=39, "Fail"))))))</f>
        <v>Very Good</v>
      </c>
      <c r="AG28" s="24"/>
    </row>
    <row r="29" spans="2:33" s="26" customFormat="1" ht="27.75" customHeight="1">
      <c r="B29" s="15">
        <v>22</v>
      </c>
      <c r="C29" s="16" t="s">
        <v>152</v>
      </c>
      <c r="D29" s="18" t="s">
        <v>153</v>
      </c>
      <c r="E29" s="13" t="s">
        <v>9</v>
      </c>
      <c r="F29" s="22">
        <v>20</v>
      </c>
      <c r="G29" s="22">
        <v>18</v>
      </c>
      <c r="H29" s="23">
        <v>5</v>
      </c>
      <c r="I29" s="22">
        <v>6</v>
      </c>
      <c r="J29" s="24">
        <v>8</v>
      </c>
      <c r="K29" s="24">
        <v>8</v>
      </c>
      <c r="L29" s="24">
        <v>8</v>
      </c>
      <c r="M29" s="24">
        <v>9</v>
      </c>
      <c r="N29" s="39">
        <f t="shared" si="2"/>
        <v>100</v>
      </c>
      <c r="O29" s="39" t="str">
        <f t="shared" ref="O29:O47" si="23">IF(N29="-", "Absent", IF(N29&gt;=85, "A+", IF(N29&gt;=80, "A", IF(N29&gt;=75, "A-", IF(N29&gt;=70, "B+",IF(N29&gt;=65, "B", IF(N29&gt;=60, "B-", IF(N29&gt;=55, "C+", IF(N29&gt;=50, "C", IF(N29&gt;=45, "C-", IF(N29&gt;=39, "D+", IF(N29&gt;=35, "D", IF(N29&gt;=0, "F" )))))))))))))</f>
        <v>A+</v>
      </c>
      <c r="P29" s="39">
        <f t="shared" si="21"/>
        <v>90</v>
      </c>
      <c r="Q29" s="39" t="str">
        <f t="shared" ref="Q29:Q47" si="24">IF(P29="-", "Absent", IF(P29&gt;=85, "A+", IF(P29&gt;=80, "A", IF(P29&gt;=75, "A-", IF(P29&gt;=70, "B+",IF(P29&gt;=65, "B", IF(P29&gt;=60, "B-", IF(P29&gt;=55, "C+", IF(P29&gt;=50, "C", IF(P29&gt;=45, "C-", IF(P29&gt;=39, "D+", IF(P29&gt;=35, "D", IF(P29&gt;=0, "F" )))))))))))))</f>
        <v>A+</v>
      </c>
      <c r="R29" s="39">
        <f t="shared" si="5"/>
        <v>50</v>
      </c>
      <c r="S29" s="40" t="str">
        <f t="shared" si="6"/>
        <v>C</v>
      </c>
      <c r="T29" s="39">
        <f t="shared" si="18"/>
        <v>60</v>
      </c>
      <c r="U29" s="40" t="str">
        <f t="shared" si="7"/>
        <v>B-</v>
      </c>
      <c r="V29" s="39">
        <f t="shared" si="15"/>
        <v>80</v>
      </c>
      <c r="W29" s="40" t="str">
        <f t="shared" si="8"/>
        <v>A</v>
      </c>
      <c r="X29" s="39">
        <f t="shared" si="19"/>
        <v>80</v>
      </c>
      <c r="Y29" s="40" t="str">
        <f t="shared" si="9"/>
        <v>A</v>
      </c>
      <c r="Z29" s="39">
        <f t="shared" si="20"/>
        <v>80</v>
      </c>
      <c r="AA29" s="40" t="str">
        <f t="shared" si="10"/>
        <v>A</v>
      </c>
      <c r="AB29" s="39">
        <f t="shared" si="16"/>
        <v>90</v>
      </c>
      <c r="AC29" s="40" t="str">
        <f t="shared" si="11"/>
        <v>A+</v>
      </c>
      <c r="AD29" s="39">
        <f t="shared" si="12"/>
        <v>630</v>
      </c>
      <c r="AE29" s="41">
        <f t="shared" si="13"/>
        <v>78.75</v>
      </c>
      <c r="AF29" s="44" t="str">
        <f t="shared" si="22"/>
        <v>Very Good</v>
      </c>
      <c r="AG29" s="24"/>
    </row>
    <row r="30" spans="2:33" s="26" customFormat="1" ht="27.75" customHeight="1">
      <c r="B30" s="15">
        <v>23</v>
      </c>
      <c r="C30" s="16" t="s">
        <v>154</v>
      </c>
      <c r="D30" s="18">
        <v>197581701132</v>
      </c>
      <c r="E30" s="14" t="s">
        <v>37</v>
      </c>
      <c r="F30" s="27">
        <v>16</v>
      </c>
      <c r="G30" s="27">
        <v>12</v>
      </c>
      <c r="H30" s="28">
        <v>2</v>
      </c>
      <c r="I30" s="27">
        <v>3</v>
      </c>
      <c r="J30" s="29">
        <v>2</v>
      </c>
      <c r="K30" s="29">
        <v>2</v>
      </c>
      <c r="L30" s="29">
        <v>1</v>
      </c>
      <c r="M30" s="29">
        <v>2</v>
      </c>
      <c r="N30" s="39">
        <f t="shared" si="2"/>
        <v>80</v>
      </c>
      <c r="O30" s="39" t="str">
        <f t="shared" si="23"/>
        <v>A</v>
      </c>
      <c r="P30" s="39">
        <f t="shared" si="21"/>
        <v>60</v>
      </c>
      <c r="Q30" s="39" t="str">
        <f t="shared" si="24"/>
        <v>B-</v>
      </c>
      <c r="R30" s="39">
        <v>35</v>
      </c>
      <c r="S30" s="40" t="str">
        <f t="shared" si="6"/>
        <v>D</v>
      </c>
      <c r="T30" s="39">
        <v>35</v>
      </c>
      <c r="U30" s="40" t="str">
        <f t="shared" si="7"/>
        <v>D</v>
      </c>
      <c r="V30" s="39">
        <v>35</v>
      </c>
      <c r="W30" s="40" t="str">
        <f t="shared" si="8"/>
        <v>D</v>
      </c>
      <c r="X30" s="39">
        <v>35</v>
      </c>
      <c r="Y30" s="40" t="str">
        <f t="shared" si="9"/>
        <v>D</v>
      </c>
      <c r="Z30" s="39">
        <v>35</v>
      </c>
      <c r="AA30" s="40" t="str">
        <f t="shared" si="10"/>
        <v>D</v>
      </c>
      <c r="AB30" s="39">
        <v>35</v>
      </c>
      <c r="AC30" s="40" t="str">
        <f t="shared" si="11"/>
        <v>D</v>
      </c>
      <c r="AD30" s="39">
        <f>N30+P30+R30+T30+V30+X30+Z30+AB30</f>
        <v>350</v>
      </c>
      <c r="AE30" s="41">
        <f t="shared" si="13"/>
        <v>43.75</v>
      </c>
      <c r="AF30" s="44" t="str">
        <f t="shared" si="22"/>
        <v>Ordinary Pass</v>
      </c>
      <c r="AG30" s="24"/>
    </row>
    <row r="31" spans="2:33" s="26" customFormat="1" ht="27.75" customHeight="1">
      <c r="B31" s="15">
        <v>24</v>
      </c>
      <c r="C31" s="16" t="s">
        <v>155</v>
      </c>
      <c r="D31" s="18" t="s">
        <v>156</v>
      </c>
      <c r="E31" s="13" t="s">
        <v>20</v>
      </c>
      <c r="F31" s="22">
        <v>14</v>
      </c>
      <c r="G31" s="22">
        <v>14</v>
      </c>
      <c r="H31" s="23">
        <v>6</v>
      </c>
      <c r="I31" s="22">
        <v>7</v>
      </c>
      <c r="J31" s="24">
        <v>8</v>
      </c>
      <c r="K31" s="24">
        <v>8</v>
      </c>
      <c r="L31" s="24">
        <v>6</v>
      </c>
      <c r="M31" s="24">
        <v>6</v>
      </c>
      <c r="N31" s="39">
        <f t="shared" si="2"/>
        <v>70</v>
      </c>
      <c r="O31" s="39" t="str">
        <f t="shared" si="23"/>
        <v>B+</v>
      </c>
      <c r="P31" s="39">
        <f t="shared" si="21"/>
        <v>70</v>
      </c>
      <c r="Q31" s="39" t="str">
        <f t="shared" si="24"/>
        <v>B+</v>
      </c>
      <c r="R31" s="39">
        <f t="shared" si="5"/>
        <v>60</v>
      </c>
      <c r="S31" s="40" t="str">
        <f t="shared" si="6"/>
        <v>B-</v>
      </c>
      <c r="T31" s="39">
        <f t="shared" ref="T31:T75" si="25">I31*10</f>
        <v>70</v>
      </c>
      <c r="U31" s="40" t="str">
        <f t="shared" si="7"/>
        <v>B+</v>
      </c>
      <c r="V31" s="39">
        <f t="shared" ref="V31:V73" si="26">J31*10</f>
        <v>80</v>
      </c>
      <c r="W31" s="40" t="str">
        <f t="shared" si="8"/>
        <v>A</v>
      </c>
      <c r="X31" s="39">
        <f t="shared" ref="X31:X73" si="27">K31*10</f>
        <v>80</v>
      </c>
      <c r="Y31" s="40" t="str">
        <f t="shared" si="9"/>
        <v>A</v>
      </c>
      <c r="Z31" s="39">
        <f t="shared" ref="Z31:Z73" si="28">L31*10</f>
        <v>60</v>
      </c>
      <c r="AA31" s="40" t="str">
        <f t="shared" si="10"/>
        <v>B-</v>
      </c>
      <c r="AB31" s="39">
        <f t="shared" ref="AB31:AB73" si="29">M31*10</f>
        <v>60</v>
      </c>
      <c r="AC31" s="40" t="str">
        <f t="shared" si="11"/>
        <v>B-</v>
      </c>
      <c r="AD31" s="39">
        <f t="shared" si="12"/>
        <v>550</v>
      </c>
      <c r="AE31" s="41">
        <f t="shared" si="13"/>
        <v>68.75</v>
      </c>
      <c r="AF31" s="44" t="str">
        <f t="shared" si="22"/>
        <v>Credit Pass</v>
      </c>
      <c r="AG31" s="24"/>
    </row>
    <row r="32" spans="2:33" s="26" customFormat="1" ht="27.75" customHeight="1">
      <c r="B32" s="15">
        <v>25</v>
      </c>
      <c r="C32" s="16" t="s">
        <v>157</v>
      </c>
      <c r="D32" s="18">
        <v>198980100180</v>
      </c>
      <c r="E32" s="13" t="s">
        <v>4</v>
      </c>
      <c r="F32" s="22">
        <v>15</v>
      </c>
      <c r="G32" s="22">
        <v>16</v>
      </c>
      <c r="H32" s="23">
        <v>2</v>
      </c>
      <c r="I32" s="22">
        <v>5</v>
      </c>
      <c r="J32" s="24">
        <v>7</v>
      </c>
      <c r="K32" s="24">
        <v>8</v>
      </c>
      <c r="L32" s="24">
        <v>8</v>
      </c>
      <c r="M32" s="24">
        <v>8</v>
      </c>
      <c r="N32" s="39">
        <f t="shared" si="2"/>
        <v>75</v>
      </c>
      <c r="O32" s="39" t="str">
        <f t="shared" si="23"/>
        <v>A-</v>
      </c>
      <c r="P32" s="39">
        <f t="shared" si="21"/>
        <v>80</v>
      </c>
      <c r="Q32" s="39" t="str">
        <f t="shared" si="24"/>
        <v>A</v>
      </c>
      <c r="R32" s="39">
        <v>35</v>
      </c>
      <c r="S32" s="40" t="str">
        <f t="shared" si="6"/>
        <v>D</v>
      </c>
      <c r="T32" s="39">
        <f t="shared" si="25"/>
        <v>50</v>
      </c>
      <c r="U32" s="40" t="str">
        <f t="shared" si="7"/>
        <v>C</v>
      </c>
      <c r="V32" s="39">
        <f t="shared" si="26"/>
        <v>70</v>
      </c>
      <c r="W32" s="40" t="str">
        <f t="shared" si="8"/>
        <v>B+</v>
      </c>
      <c r="X32" s="39">
        <f t="shared" si="27"/>
        <v>80</v>
      </c>
      <c r="Y32" s="40" t="str">
        <f t="shared" si="9"/>
        <v>A</v>
      </c>
      <c r="Z32" s="39">
        <f t="shared" si="28"/>
        <v>80</v>
      </c>
      <c r="AA32" s="40" t="str">
        <f t="shared" si="10"/>
        <v>A</v>
      </c>
      <c r="AB32" s="39">
        <f t="shared" si="29"/>
        <v>80</v>
      </c>
      <c r="AC32" s="40" t="str">
        <f t="shared" si="11"/>
        <v>A</v>
      </c>
      <c r="AD32" s="39">
        <f t="shared" si="12"/>
        <v>550</v>
      </c>
      <c r="AE32" s="41">
        <f t="shared" si="13"/>
        <v>68.75</v>
      </c>
      <c r="AF32" s="44" t="str">
        <f t="shared" si="22"/>
        <v>Credit Pass</v>
      </c>
      <c r="AG32" s="24"/>
    </row>
    <row r="33" spans="2:33" s="26" customFormat="1" ht="27.75" customHeight="1">
      <c r="B33" s="15">
        <v>26</v>
      </c>
      <c r="C33" s="16" t="s">
        <v>158</v>
      </c>
      <c r="D33" s="18" t="s">
        <v>159</v>
      </c>
      <c r="E33" s="13" t="s">
        <v>25</v>
      </c>
      <c r="F33" s="22">
        <v>18</v>
      </c>
      <c r="G33" s="22">
        <v>17</v>
      </c>
      <c r="H33" s="23">
        <v>8</v>
      </c>
      <c r="I33" s="22">
        <v>8</v>
      </c>
      <c r="J33" s="24">
        <v>6</v>
      </c>
      <c r="K33" s="24">
        <v>7</v>
      </c>
      <c r="L33" s="24">
        <v>9</v>
      </c>
      <c r="M33" s="24">
        <v>9</v>
      </c>
      <c r="N33" s="39">
        <f t="shared" si="2"/>
        <v>90</v>
      </c>
      <c r="O33" s="39" t="str">
        <f t="shared" si="23"/>
        <v>A+</v>
      </c>
      <c r="P33" s="39">
        <f t="shared" si="21"/>
        <v>85</v>
      </c>
      <c r="Q33" s="39" t="str">
        <f t="shared" si="24"/>
        <v>A+</v>
      </c>
      <c r="R33" s="39">
        <f t="shared" si="5"/>
        <v>80</v>
      </c>
      <c r="S33" s="40" t="str">
        <f t="shared" si="6"/>
        <v>A</v>
      </c>
      <c r="T33" s="39">
        <f t="shared" si="25"/>
        <v>80</v>
      </c>
      <c r="U33" s="40" t="str">
        <f t="shared" si="7"/>
        <v>A</v>
      </c>
      <c r="V33" s="39">
        <f t="shared" si="26"/>
        <v>60</v>
      </c>
      <c r="W33" s="40" t="str">
        <f t="shared" si="8"/>
        <v>B-</v>
      </c>
      <c r="X33" s="39">
        <f t="shared" si="27"/>
        <v>70</v>
      </c>
      <c r="Y33" s="40" t="str">
        <f t="shared" si="9"/>
        <v>B+</v>
      </c>
      <c r="Z33" s="39">
        <f t="shared" si="28"/>
        <v>90</v>
      </c>
      <c r="AA33" s="40" t="str">
        <f t="shared" si="10"/>
        <v>A+</v>
      </c>
      <c r="AB33" s="39">
        <f t="shared" si="29"/>
        <v>90</v>
      </c>
      <c r="AC33" s="40" t="str">
        <f t="shared" si="11"/>
        <v>A+</v>
      </c>
      <c r="AD33" s="39">
        <f t="shared" si="12"/>
        <v>645</v>
      </c>
      <c r="AE33" s="41">
        <f t="shared" si="13"/>
        <v>80.625</v>
      </c>
      <c r="AF33" s="44" t="str">
        <f t="shared" si="22"/>
        <v>Very Good</v>
      </c>
      <c r="AG33" s="24"/>
    </row>
    <row r="34" spans="2:33" s="26" customFormat="1" ht="27.75" customHeight="1">
      <c r="B34" s="15">
        <v>27</v>
      </c>
      <c r="C34" s="16" t="s">
        <v>160</v>
      </c>
      <c r="D34" s="18" t="s">
        <v>161</v>
      </c>
      <c r="E34" s="13" t="s">
        <v>47</v>
      </c>
      <c r="F34" s="22">
        <v>18</v>
      </c>
      <c r="G34" s="22">
        <v>17</v>
      </c>
      <c r="H34" s="23">
        <v>6</v>
      </c>
      <c r="I34" s="22">
        <v>7</v>
      </c>
      <c r="J34" s="24">
        <v>8</v>
      </c>
      <c r="K34" s="24">
        <v>8</v>
      </c>
      <c r="L34" s="24">
        <v>8</v>
      </c>
      <c r="M34" s="24">
        <v>8</v>
      </c>
      <c r="N34" s="39">
        <f t="shared" si="2"/>
        <v>90</v>
      </c>
      <c r="O34" s="39" t="str">
        <f t="shared" si="23"/>
        <v>A+</v>
      </c>
      <c r="P34" s="39">
        <f t="shared" si="21"/>
        <v>85</v>
      </c>
      <c r="Q34" s="39" t="str">
        <f t="shared" si="24"/>
        <v>A+</v>
      </c>
      <c r="R34" s="39">
        <f t="shared" si="5"/>
        <v>60</v>
      </c>
      <c r="S34" s="40" t="str">
        <f t="shared" si="6"/>
        <v>B-</v>
      </c>
      <c r="T34" s="39">
        <f t="shared" si="25"/>
        <v>70</v>
      </c>
      <c r="U34" s="40" t="str">
        <f t="shared" si="7"/>
        <v>B+</v>
      </c>
      <c r="V34" s="39">
        <f t="shared" si="26"/>
        <v>80</v>
      </c>
      <c r="W34" s="40" t="str">
        <f t="shared" si="8"/>
        <v>A</v>
      </c>
      <c r="X34" s="39">
        <f t="shared" si="27"/>
        <v>80</v>
      </c>
      <c r="Y34" s="40" t="str">
        <f t="shared" si="9"/>
        <v>A</v>
      </c>
      <c r="Z34" s="39">
        <f t="shared" si="28"/>
        <v>80</v>
      </c>
      <c r="AA34" s="40" t="str">
        <f t="shared" si="10"/>
        <v>A</v>
      </c>
      <c r="AB34" s="39">
        <f t="shared" si="29"/>
        <v>80</v>
      </c>
      <c r="AC34" s="40" t="str">
        <f t="shared" si="11"/>
        <v>A</v>
      </c>
      <c r="AD34" s="39">
        <f t="shared" si="12"/>
        <v>625</v>
      </c>
      <c r="AE34" s="41">
        <f t="shared" si="13"/>
        <v>78.125</v>
      </c>
      <c r="AF34" s="44" t="str">
        <f t="shared" si="22"/>
        <v>Very Good</v>
      </c>
      <c r="AG34" s="24"/>
    </row>
    <row r="35" spans="2:33" s="26" customFormat="1" ht="27.75" customHeight="1">
      <c r="B35" s="15">
        <v>28</v>
      </c>
      <c r="C35" s="16" t="s">
        <v>162</v>
      </c>
      <c r="D35" s="18" t="s">
        <v>163</v>
      </c>
      <c r="E35" s="13" t="s">
        <v>26</v>
      </c>
      <c r="F35" s="22">
        <v>13</v>
      </c>
      <c r="G35" s="22">
        <v>13</v>
      </c>
      <c r="H35" s="23">
        <v>5</v>
      </c>
      <c r="I35" s="22">
        <v>7</v>
      </c>
      <c r="J35" s="24">
        <v>9</v>
      </c>
      <c r="K35" s="24">
        <v>9</v>
      </c>
      <c r="L35" s="24">
        <v>8</v>
      </c>
      <c r="M35" s="24">
        <v>9</v>
      </c>
      <c r="N35" s="39">
        <f t="shared" si="2"/>
        <v>65</v>
      </c>
      <c r="O35" s="39" t="str">
        <f t="shared" si="23"/>
        <v>B</v>
      </c>
      <c r="P35" s="39">
        <f t="shared" si="21"/>
        <v>65</v>
      </c>
      <c r="Q35" s="39" t="str">
        <f t="shared" si="24"/>
        <v>B</v>
      </c>
      <c r="R35" s="39">
        <f t="shared" si="5"/>
        <v>50</v>
      </c>
      <c r="S35" s="40" t="str">
        <f t="shared" si="6"/>
        <v>C</v>
      </c>
      <c r="T35" s="39">
        <f t="shared" si="25"/>
        <v>70</v>
      </c>
      <c r="U35" s="40" t="str">
        <f t="shared" si="7"/>
        <v>B+</v>
      </c>
      <c r="V35" s="39">
        <f t="shared" si="26"/>
        <v>90</v>
      </c>
      <c r="W35" s="40" t="str">
        <f t="shared" si="8"/>
        <v>A+</v>
      </c>
      <c r="X35" s="39">
        <f t="shared" si="27"/>
        <v>90</v>
      </c>
      <c r="Y35" s="40" t="str">
        <f t="shared" si="9"/>
        <v>A+</v>
      </c>
      <c r="Z35" s="39">
        <f t="shared" si="28"/>
        <v>80</v>
      </c>
      <c r="AA35" s="40" t="str">
        <f t="shared" si="10"/>
        <v>A</v>
      </c>
      <c r="AB35" s="39">
        <f t="shared" si="29"/>
        <v>90</v>
      </c>
      <c r="AC35" s="40" t="str">
        <f t="shared" si="11"/>
        <v>A+</v>
      </c>
      <c r="AD35" s="39">
        <f t="shared" si="12"/>
        <v>600</v>
      </c>
      <c r="AE35" s="41">
        <f t="shared" si="13"/>
        <v>75</v>
      </c>
      <c r="AF35" s="44" t="str">
        <f t="shared" si="22"/>
        <v>Very Good</v>
      </c>
      <c r="AG35" s="24"/>
    </row>
    <row r="36" spans="2:33" s="26" customFormat="1" ht="27.75" customHeight="1">
      <c r="B36" s="15">
        <v>29</v>
      </c>
      <c r="C36" s="16" t="s">
        <v>164</v>
      </c>
      <c r="D36" s="18" t="s">
        <v>165</v>
      </c>
      <c r="E36" s="14" t="s">
        <v>49</v>
      </c>
      <c r="F36" s="22">
        <v>14</v>
      </c>
      <c r="G36" s="22">
        <v>14</v>
      </c>
      <c r="H36" s="23">
        <v>6</v>
      </c>
      <c r="I36" s="22">
        <v>7</v>
      </c>
      <c r="J36" s="24">
        <v>8</v>
      </c>
      <c r="K36" s="24">
        <v>8</v>
      </c>
      <c r="L36" s="24">
        <v>8</v>
      </c>
      <c r="M36" s="24">
        <v>8</v>
      </c>
      <c r="N36" s="39">
        <f t="shared" si="2"/>
        <v>70</v>
      </c>
      <c r="O36" s="39" t="str">
        <f t="shared" si="23"/>
        <v>B+</v>
      </c>
      <c r="P36" s="39">
        <f t="shared" si="21"/>
        <v>70</v>
      </c>
      <c r="Q36" s="39" t="str">
        <f t="shared" si="24"/>
        <v>B+</v>
      </c>
      <c r="R36" s="39">
        <f t="shared" si="5"/>
        <v>60</v>
      </c>
      <c r="S36" s="40" t="str">
        <f t="shared" si="6"/>
        <v>B-</v>
      </c>
      <c r="T36" s="39">
        <f t="shared" si="25"/>
        <v>70</v>
      </c>
      <c r="U36" s="40" t="str">
        <f t="shared" si="7"/>
        <v>B+</v>
      </c>
      <c r="V36" s="39">
        <f t="shared" si="26"/>
        <v>80</v>
      </c>
      <c r="W36" s="40" t="str">
        <f t="shared" si="8"/>
        <v>A</v>
      </c>
      <c r="X36" s="39">
        <f t="shared" si="27"/>
        <v>80</v>
      </c>
      <c r="Y36" s="40" t="str">
        <f t="shared" si="9"/>
        <v>A</v>
      </c>
      <c r="Z36" s="39">
        <f t="shared" si="28"/>
        <v>80</v>
      </c>
      <c r="AA36" s="40" t="str">
        <f t="shared" si="10"/>
        <v>A</v>
      </c>
      <c r="AB36" s="39">
        <f t="shared" si="29"/>
        <v>80</v>
      </c>
      <c r="AC36" s="40" t="str">
        <f t="shared" si="11"/>
        <v>A</v>
      </c>
      <c r="AD36" s="39">
        <f t="shared" si="12"/>
        <v>590</v>
      </c>
      <c r="AE36" s="41">
        <f t="shared" si="13"/>
        <v>73.75</v>
      </c>
      <c r="AF36" s="44" t="str">
        <f t="shared" si="22"/>
        <v>Very Good</v>
      </c>
      <c r="AG36" s="24"/>
    </row>
    <row r="37" spans="2:33" s="26" customFormat="1" ht="27.75" customHeight="1">
      <c r="B37" s="15">
        <v>30</v>
      </c>
      <c r="C37" s="25" t="s">
        <v>166</v>
      </c>
      <c r="D37" s="19" t="s">
        <v>167</v>
      </c>
      <c r="E37" s="13" t="s">
        <v>85</v>
      </c>
      <c r="F37" s="22"/>
      <c r="G37" s="22"/>
      <c r="H37" s="23"/>
      <c r="I37" s="22"/>
      <c r="J37" s="24"/>
      <c r="K37" s="24"/>
      <c r="L37" s="24"/>
      <c r="M37" s="24"/>
      <c r="N37" s="39" t="s">
        <v>267</v>
      </c>
      <c r="O37" s="39" t="s">
        <v>267</v>
      </c>
      <c r="P37" s="39" t="s">
        <v>267</v>
      </c>
      <c r="Q37" s="39" t="s">
        <v>267</v>
      </c>
      <c r="R37" s="39" t="s">
        <v>267</v>
      </c>
      <c r="S37" s="39" t="s">
        <v>267</v>
      </c>
      <c r="T37" s="39" t="s">
        <v>267</v>
      </c>
      <c r="U37" s="39" t="s">
        <v>267</v>
      </c>
      <c r="V37" s="39" t="s">
        <v>267</v>
      </c>
      <c r="W37" s="39" t="s">
        <v>267</v>
      </c>
      <c r="X37" s="39" t="s">
        <v>267</v>
      </c>
      <c r="Y37" s="39" t="s">
        <v>267</v>
      </c>
      <c r="Z37" s="39" t="s">
        <v>267</v>
      </c>
      <c r="AA37" s="39" t="s">
        <v>267</v>
      </c>
      <c r="AB37" s="39" t="s">
        <v>267</v>
      </c>
      <c r="AC37" s="39" t="s">
        <v>267</v>
      </c>
      <c r="AD37" s="39" t="s">
        <v>267</v>
      </c>
      <c r="AE37" s="39" t="s">
        <v>267</v>
      </c>
      <c r="AF37" s="44" t="s">
        <v>267</v>
      </c>
      <c r="AG37" s="24"/>
    </row>
    <row r="38" spans="2:33" s="26" customFormat="1" ht="27.75" customHeight="1">
      <c r="B38" s="15">
        <v>31</v>
      </c>
      <c r="C38" s="16" t="s">
        <v>168</v>
      </c>
      <c r="D38" s="18">
        <v>198278003731</v>
      </c>
      <c r="E38" s="13" t="s">
        <v>57</v>
      </c>
      <c r="F38" s="22">
        <v>16</v>
      </c>
      <c r="G38" s="22">
        <v>13</v>
      </c>
      <c r="H38" s="23">
        <v>8</v>
      </c>
      <c r="I38" s="22">
        <v>9</v>
      </c>
      <c r="J38" s="24">
        <v>9</v>
      </c>
      <c r="K38" s="24">
        <v>9</v>
      </c>
      <c r="L38" s="24">
        <v>10</v>
      </c>
      <c r="M38" s="24">
        <v>10</v>
      </c>
      <c r="N38" s="39">
        <f t="shared" si="2"/>
        <v>80</v>
      </c>
      <c r="O38" s="39" t="str">
        <f t="shared" si="23"/>
        <v>A</v>
      </c>
      <c r="P38" s="39">
        <f>G38*5</f>
        <v>65</v>
      </c>
      <c r="Q38" s="39" t="str">
        <f t="shared" si="24"/>
        <v>B</v>
      </c>
      <c r="R38" s="39">
        <f t="shared" si="5"/>
        <v>80</v>
      </c>
      <c r="S38" s="40" t="str">
        <f t="shared" si="6"/>
        <v>A</v>
      </c>
      <c r="T38" s="39">
        <f t="shared" si="25"/>
        <v>90</v>
      </c>
      <c r="U38" s="40" t="str">
        <f t="shared" si="7"/>
        <v>A+</v>
      </c>
      <c r="V38" s="39">
        <f t="shared" si="26"/>
        <v>90</v>
      </c>
      <c r="W38" s="40" t="str">
        <f t="shared" si="8"/>
        <v>A+</v>
      </c>
      <c r="X38" s="39">
        <f t="shared" si="27"/>
        <v>90</v>
      </c>
      <c r="Y38" s="40" t="str">
        <f t="shared" si="9"/>
        <v>A+</v>
      </c>
      <c r="Z38" s="39">
        <f t="shared" si="28"/>
        <v>100</v>
      </c>
      <c r="AA38" s="40" t="str">
        <f t="shared" si="10"/>
        <v>A+</v>
      </c>
      <c r="AB38" s="39">
        <f t="shared" si="29"/>
        <v>100</v>
      </c>
      <c r="AC38" s="40" t="str">
        <f t="shared" si="11"/>
        <v>A+</v>
      </c>
      <c r="AD38" s="39">
        <f t="shared" si="12"/>
        <v>695</v>
      </c>
      <c r="AE38" s="41">
        <f t="shared" si="13"/>
        <v>86.875</v>
      </c>
      <c r="AF38" s="44" t="str">
        <f t="shared" si="22"/>
        <v>Excellent Pass</v>
      </c>
      <c r="AG38" s="24"/>
    </row>
    <row r="39" spans="2:33" s="26" customFormat="1" ht="27.75" customHeight="1">
      <c r="B39" s="15">
        <v>32</v>
      </c>
      <c r="C39" s="16" t="s">
        <v>169</v>
      </c>
      <c r="D39" s="18" t="s">
        <v>170</v>
      </c>
      <c r="E39" s="13" t="s">
        <v>48</v>
      </c>
      <c r="F39" s="22">
        <v>15</v>
      </c>
      <c r="G39" s="22">
        <v>15</v>
      </c>
      <c r="H39" s="23">
        <v>6</v>
      </c>
      <c r="I39" s="22">
        <v>7</v>
      </c>
      <c r="J39" s="24">
        <v>6</v>
      </c>
      <c r="K39" s="24">
        <v>8</v>
      </c>
      <c r="L39" s="24">
        <v>8</v>
      </c>
      <c r="M39" s="24">
        <v>8</v>
      </c>
      <c r="N39" s="39">
        <f t="shared" si="2"/>
        <v>75</v>
      </c>
      <c r="O39" s="39" t="str">
        <f t="shared" si="23"/>
        <v>A-</v>
      </c>
      <c r="P39" s="39">
        <f>G39*5</f>
        <v>75</v>
      </c>
      <c r="Q39" s="39" t="str">
        <f t="shared" si="24"/>
        <v>A-</v>
      </c>
      <c r="R39" s="39">
        <f t="shared" si="5"/>
        <v>60</v>
      </c>
      <c r="S39" s="40" t="str">
        <f t="shared" si="6"/>
        <v>B-</v>
      </c>
      <c r="T39" s="39">
        <f t="shared" si="25"/>
        <v>70</v>
      </c>
      <c r="U39" s="40" t="str">
        <f t="shared" si="7"/>
        <v>B+</v>
      </c>
      <c r="V39" s="39">
        <f t="shared" si="26"/>
        <v>60</v>
      </c>
      <c r="W39" s="40" t="str">
        <f t="shared" si="8"/>
        <v>B-</v>
      </c>
      <c r="X39" s="39">
        <f t="shared" si="27"/>
        <v>80</v>
      </c>
      <c r="Y39" s="40" t="str">
        <f t="shared" si="9"/>
        <v>A</v>
      </c>
      <c r="Z39" s="39">
        <f t="shared" si="28"/>
        <v>80</v>
      </c>
      <c r="AA39" s="40" t="str">
        <f t="shared" si="10"/>
        <v>A</v>
      </c>
      <c r="AB39" s="39">
        <f t="shared" si="29"/>
        <v>80</v>
      </c>
      <c r="AC39" s="40" t="str">
        <f t="shared" si="11"/>
        <v>A</v>
      </c>
      <c r="AD39" s="39">
        <f t="shared" si="12"/>
        <v>580</v>
      </c>
      <c r="AE39" s="41">
        <f t="shared" si="13"/>
        <v>72.5</v>
      </c>
      <c r="AF39" s="44" t="str">
        <f t="shared" si="22"/>
        <v>Very Good</v>
      </c>
      <c r="AG39" s="24"/>
    </row>
    <row r="40" spans="2:33" s="26" customFormat="1" ht="27.75" customHeight="1">
      <c r="B40" s="15">
        <v>33</v>
      </c>
      <c r="C40" s="16" t="s">
        <v>171</v>
      </c>
      <c r="D40" s="18">
        <v>200254503900</v>
      </c>
      <c r="E40" s="13" t="s">
        <v>32</v>
      </c>
      <c r="F40" s="22">
        <v>11</v>
      </c>
      <c r="G40" s="22">
        <v>16</v>
      </c>
      <c r="H40" s="23">
        <v>6</v>
      </c>
      <c r="I40" s="22">
        <v>7</v>
      </c>
      <c r="J40" s="24">
        <v>9</v>
      </c>
      <c r="K40" s="24">
        <v>8</v>
      </c>
      <c r="L40" s="24">
        <v>7</v>
      </c>
      <c r="M40" s="24">
        <v>8</v>
      </c>
      <c r="N40" s="39">
        <f t="shared" si="2"/>
        <v>55</v>
      </c>
      <c r="O40" s="39" t="str">
        <f t="shared" si="23"/>
        <v>C+</v>
      </c>
      <c r="P40" s="39">
        <f>G40*5</f>
        <v>80</v>
      </c>
      <c r="Q40" s="39" t="str">
        <f t="shared" si="24"/>
        <v>A</v>
      </c>
      <c r="R40" s="39">
        <f t="shared" si="5"/>
        <v>60</v>
      </c>
      <c r="S40" s="40" t="str">
        <f t="shared" si="6"/>
        <v>B-</v>
      </c>
      <c r="T40" s="39">
        <f t="shared" si="25"/>
        <v>70</v>
      </c>
      <c r="U40" s="40" t="str">
        <f t="shared" si="7"/>
        <v>B+</v>
      </c>
      <c r="V40" s="39">
        <f t="shared" si="26"/>
        <v>90</v>
      </c>
      <c r="W40" s="40" t="str">
        <f t="shared" si="8"/>
        <v>A+</v>
      </c>
      <c r="X40" s="39">
        <f t="shared" si="27"/>
        <v>80</v>
      </c>
      <c r="Y40" s="40" t="str">
        <f t="shared" si="9"/>
        <v>A</v>
      </c>
      <c r="Z40" s="39">
        <f t="shared" si="28"/>
        <v>70</v>
      </c>
      <c r="AA40" s="40" t="str">
        <f t="shared" si="10"/>
        <v>B+</v>
      </c>
      <c r="AB40" s="39">
        <f t="shared" si="29"/>
        <v>80</v>
      </c>
      <c r="AC40" s="40" t="str">
        <f t="shared" si="11"/>
        <v>A</v>
      </c>
      <c r="AD40" s="39">
        <f t="shared" si="12"/>
        <v>585</v>
      </c>
      <c r="AE40" s="41">
        <f t="shared" si="13"/>
        <v>73.125</v>
      </c>
      <c r="AF40" s="44" t="str">
        <f t="shared" si="22"/>
        <v>Very Good</v>
      </c>
      <c r="AG40" s="24"/>
    </row>
    <row r="41" spans="2:33" s="26" customFormat="1" ht="27.75" customHeight="1">
      <c r="B41" s="15">
        <v>34</v>
      </c>
      <c r="C41" s="16" t="s">
        <v>172</v>
      </c>
      <c r="D41" s="18" t="s">
        <v>173</v>
      </c>
      <c r="E41" s="13" t="s">
        <v>14</v>
      </c>
      <c r="F41" s="22">
        <v>17</v>
      </c>
      <c r="G41" s="22">
        <v>18</v>
      </c>
      <c r="H41" s="23">
        <v>7</v>
      </c>
      <c r="I41" s="22">
        <v>5</v>
      </c>
      <c r="J41" s="24">
        <v>8</v>
      </c>
      <c r="K41" s="24">
        <v>8</v>
      </c>
      <c r="L41" s="24">
        <v>8</v>
      </c>
      <c r="M41" s="24">
        <v>9</v>
      </c>
      <c r="N41" s="39">
        <f t="shared" si="2"/>
        <v>85</v>
      </c>
      <c r="O41" s="39" t="str">
        <f t="shared" si="23"/>
        <v>A+</v>
      </c>
      <c r="P41" s="39">
        <f>G41*5</f>
        <v>90</v>
      </c>
      <c r="Q41" s="39" t="str">
        <f t="shared" si="24"/>
        <v>A+</v>
      </c>
      <c r="R41" s="39">
        <f t="shared" si="5"/>
        <v>70</v>
      </c>
      <c r="S41" s="40" t="str">
        <f t="shared" si="6"/>
        <v>B+</v>
      </c>
      <c r="T41" s="39">
        <f t="shared" si="25"/>
        <v>50</v>
      </c>
      <c r="U41" s="40" t="str">
        <f t="shared" si="7"/>
        <v>C</v>
      </c>
      <c r="V41" s="39">
        <f t="shared" si="26"/>
        <v>80</v>
      </c>
      <c r="W41" s="40" t="str">
        <f t="shared" si="8"/>
        <v>A</v>
      </c>
      <c r="X41" s="39">
        <f t="shared" si="27"/>
        <v>80</v>
      </c>
      <c r="Y41" s="40" t="str">
        <f t="shared" si="9"/>
        <v>A</v>
      </c>
      <c r="Z41" s="39">
        <f t="shared" si="28"/>
        <v>80</v>
      </c>
      <c r="AA41" s="40" t="str">
        <f t="shared" si="10"/>
        <v>A</v>
      </c>
      <c r="AB41" s="39">
        <f t="shared" si="29"/>
        <v>90</v>
      </c>
      <c r="AC41" s="40" t="str">
        <f t="shared" si="11"/>
        <v>A+</v>
      </c>
      <c r="AD41" s="39">
        <f t="shared" si="12"/>
        <v>625</v>
      </c>
      <c r="AE41" s="41">
        <f t="shared" si="13"/>
        <v>78.125</v>
      </c>
      <c r="AF41" s="44" t="str">
        <f t="shared" si="22"/>
        <v>Very Good</v>
      </c>
      <c r="AG41" s="24"/>
    </row>
    <row r="42" spans="2:33" s="30" customFormat="1" ht="27.75" customHeight="1">
      <c r="B42" s="15">
        <v>35</v>
      </c>
      <c r="C42" s="25" t="s">
        <v>174</v>
      </c>
      <c r="D42" s="19">
        <v>197716603443</v>
      </c>
      <c r="E42" s="14" t="s">
        <v>86</v>
      </c>
      <c r="F42" s="22"/>
      <c r="G42" s="22"/>
      <c r="H42" s="23"/>
      <c r="I42" s="22"/>
      <c r="J42" s="24"/>
      <c r="K42" s="24"/>
      <c r="L42" s="24"/>
      <c r="M42" s="24"/>
      <c r="N42" s="39" t="s">
        <v>267</v>
      </c>
      <c r="O42" s="39" t="s">
        <v>267</v>
      </c>
      <c r="P42" s="39" t="s">
        <v>267</v>
      </c>
      <c r="Q42" s="39" t="s">
        <v>267</v>
      </c>
      <c r="R42" s="39" t="s">
        <v>267</v>
      </c>
      <c r="S42" s="39" t="s">
        <v>267</v>
      </c>
      <c r="T42" s="39" t="s">
        <v>267</v>
      </c>
      <c r="U42" s="39" t="s">
        <v>267</v>
      </c>
      <c r="V42" s="39" t="s">
        <v>267</v>
      </c>
      <c r="W42" s="39" t="s">
        <v>267</v>
      </c>
      <c r="X42" s="39" t="s">
        <v>267</v>
      </c>
      <c r="Y42" s="39" t="s">
        <v>267</v>
      </c>
      <c r="Z42" s="39" t="s">
        <v>267</v>
      </c>
      <c r="AA42" s="39" t="s">
        <v>267</v>
      </c>
      <c r="AB42" s="39" t="s">
        <v>267</v>
      </c>
      <c r="AC42" s="39" t="s">
        <v>267</v>
      </c>
      <c r="AD42" s="39" t="s">
        <v>267</v>
      </c>
      <c r="AE42" s="39" t="s">
        <v>267</v>
      </c>
      <c r="AF42" s="44" t="s">
        <v>267</v>
      </c>
      <c r="AG42" s="24"/>
    </row>
    <row r="43" spans="2:33" s="26" customFormat="1" ht="27.75" customHeight="1">
      <c r="B43" s="15">
        <v>36</v>
      </c>
      <c r="C43" s="16" t="s">
        <v>175</v>
      </c>
      <c r="D43" s="18" t="s">
        <v>176</v>
      </c>
      <c r="E43" s="13" t="s">
        <v>54</v>
      </c>
      <c r="F43" s="27">
        <v>10</v>
      </c>
      <c r="G43" s="27">
        <v>12</v>
      </c>
      <c r="H43" s="27">
        <v>6</v>
      </c>
      <c r="I43" s="27">
        <v>6</v>
      </c>
      <c r="J43" s="29">
        <v>6</v>
      </c>
      <c r="K43" s="29">
        <v>6</v>
      </c>
      <c r="L43" s="29">
        <v>8</v>
      </c>
      <c r="M43" s="29">
        <v>8</v>
      </c>
      <c r="N43" s="39">
        <f t="shared" si="2"/>
        <v>50</v>
      </c>
      <c r="O43" s="39" t="str">
        <f t="shared" si="23"/>
        <v>C</v>
      </c>
      <c r="P43" s="39">
        <f>G43*5</f>
        <v>60</v>
      </c>
      <c r="Q43" s="39" t="str">
        <f t="shared" si="24"/>
        <v>B-</v>
      </c>
      <c r="R43" s="39">
        <f t="shared" si="5"/>
        <v>60</v>
      </c>
      <c r="S43" s="40" t="str">
        <f t="shared" si="6"/>
        <v>B-</v>
      </c>
      <c r="T43" s="39">
        <f t="shared" si="25"/>
        <v>60</v>
      </c>
      <c r="U43" s="40" t="str">
        <f t="shared" si="7"/>
        <v>B-</v>
      </c>
      <c r="V43" s="39">
        <f t="shared" si="26"/>
        <v>60</v>
      </c>
      <c r="W43" s="40" t="str">
        <f t="shared" si="8"/>
        <v>B-</v>
      </c>
      <c r="X43" s="39">
        <f t="shared" si="27"/>
        <v>60</v>
      </c>
      <c r="Y43" s="40" t="str">
        <f t="shared" si="9"/>
        <v>B-</v>
      </c>
      <c r="Z43" s="39">
        <f t="shared" si="28"/>
        <v>80</v>
      </c>
      <c r="AA43" s="40" t="str">
        <f t="shared" si="10"/>
        <v>A</v>
      </c>
      <c r="AB43" s="39">
        <f t="shared" si="29"/>
        <v>80</v>
      </c>
      <c r="AC43" s="40" t="str">
        <f t="shared" si="11"/>
        <v>A</v>
      </c>
      <c r="AD43" s="39">
        <f t="shared" si="12"/>
        <v>510</v>
      </c>
      <c r="AE43" s="41">
        <f t="shared" si="13"/>
        <v>63.75</v>
      </c>
      <c r="AF43" s="44" t="str">
        <f t="shared" si="22"/>
        <v>Credit Pass</v>
      </c>
      <c r="AG43" s="29"/>
    </row>
    <row r="44" spans="2:33" s="26" customFormat="1" ht="27.75" customHeight="1">
      <c r="B44" s="15">
        <v>37</v>
      </c>
      <c r="C44" s="16" t="s">
        <v>177</v>
      </c>
      <c r="D44" s="18">
        <v>200628305031</v>
      </c>
      <c r="E44" s="13" t="s">
        <v>60</v>
      </c>
      <c r="F44" s="22">
        <v>16</v>
      </c>
      <c r="G44" s="22">
        <v>17</v>
      </c>
      <c r="H44" s="23">
        <v>6</v>
      </c>
      <c r="I44" s="22">
        <v>7</v>
      </c>
      <c r="J44" s="24">
        <v>8</v>
      </c>
      <c r="K44" s="24">
        <v>7</v>
      </c>
      <c r="L44" s="24">
        <v>9</v>
      </c>
      <c r="M44" s="24">
        <v>10</v>
      </c>
      <c r="N44" s="39">
        <f t="shared" si="2"/>
        <v>80</v>
      </c>
      <c r="O44" s="39" t="str">
        <f t="shared" si="23"/>
        <v>A</v>
      </c>
      <c r="P44" s="39">
        <f>G44*5</f>
        <v>85</v>
      </c>
      <c r="Q44" s="39" t="str">
        <f t="shared" si="24"/>
        <v>A+</v>
      </c>
      <c r="R44" s="39">
        <f t="shared" si="5"/>
        <v>60</v>
      </c>
      <c r="S44" s="40" t="str">
        <f t="shared" si="6"/>
        <v>B-</v>
      </c>
      <c r="T44" s="39">
        <f t="shared" si="25"/>
        <v>70</v>
      </c>
      <c r="U44" s="40" t="str">
        <f t="shared" si="7"/>
        <v>B+</v>
      </c>
      <c r="V44" s="39">
        <f t="shared" si="26"/>
        <v>80</v>
      </c>
      <c r="W44" s="40" t="str">
        <f t="shared" si="8"/>
        <v>A</v>
      </c>
      <c r="X44" s="39">
        <f t="shared" si="27"/>
        <v>70</v>
      </c>
      <c r="Y44" s="40" t="str">
        <f t="shared" si="9"/>
        <v>B+</v>
      </c>
      <c r="Z44" s="39">
        <f t="shared" si="28"/>
        <v>90</v>
      </c>
      <c r="AA44" s="40" t="str">
        <f t="shared" si="10"/>
        <v>A+</v>
      </c>
      <c r="AB44" s="39">
        <f t="shared" si="29"/>
        <v>100</v>
      </c>
      <c r="AC44" s="40" t="str">
        <f t="shared" si="11"/>
        <v>A+</v>
      </c>
      <c r="AD44" s="39">
        <f t="shared" si="12"/>
        <v>635</v>
      </c>
      <c r="AE44" s="41">
        <f t="shared" si="13"/>
        <v>79.375</v>
      </c>
      <c r="AF44" s="44" t="str">
        <f t="shared" si="22"/>
        <v>Very Good</v>
      </c>
      <c r="AG44" s="24"/>
    </row>
    <row r="45" spans="2:33" s="26" customFormat="1" ht="27.75" customHeight="1">
      <c r="B45" s="15">
        <v>38</v>
      </c>
      <c r="C45" s="16" t="s">
        <v>87</v>
      </c>
      <c r="D45" s="19" t="s">
        <v>178</v>
      </c>
      <c r="E45" s="13" t="s">
        <v>88</v>
      </c>
      <c r="F45" s="22"/>
      <c r="G45" s="22"/>
      <c r="H45" s="23"/>
      <c r="I45" s="22"/>
      <c r="J45" s="24"/>
      <c r="K45" s="24"/>
      <c r="L45" s="24"/>
      <c r="M45" s="24"/>
      <c r="N45" s="39" t="s">
        <v>267</v>
      </c>
      <c r="O45" s="39" t="s">
        <v>267</v>
      </c>
      <c r="P45" s="39" t="s">
        <v>267</v>
      </c>
      <c r="Q45" s="39" t="s">
        <v>267</v>
      </c>
      <c r="R45" s="39" t="s">
        <v>267</v>
      </c>
      <c r="S45" s="39" t="s">
        <v>267</v>
      </c>
      <c r="T45" s="39" t="s">
        <v>267</v>
      </c>
      <c r="U45" s="39" t="s">
        <v>267</v>
      </c>
      <c r="V45" s="39" t="s">
        <v>267</v>
      </c>
      <c r="W45" s="39" t="s">
        <v>267</v>
      </c>
      <c r="X45" s="39" t="s">
        <v>267</v>
      </c>
      <c r="Y45" s="39" t="s">
        <v>267</v>
      </c>
      <c r="Z45" s="39" t="s">
        <v>267</v>
      </c>
      <c r="AA45" s="39" t="s">
        <v>267</v>
      </c>
      <c r="AB45" s="39" t="s">
        <v>267</v>
      </c>
      <c r="AC45" s="39" t="s">
        <v>267</v>
      </c>
      <c r="AD45" s="39" t="s">
        <v>267</v>
      </c>
      <c r="AE45" s="39" t="s">
        <v>267</v>
      </c>
      <c r="AF45" s="44" t="s">
        <v>267</v>
      </c>
      <c r="AG45" s="24"/>
    </row>
    <row r="46" spans="2:33" s="26" customFormat="1" ht="27.75" customHeight="1">
      <c r="B46" s="15">
        <v>39</v>
      </c>
      <c r="C46" s="16" t="s">
        <v>89</v>
      </c>
      <c r="D46" s="19" t="s">
        <v>179</v>
      </c>
      <c r="E46" s="13" t="s">
        <v>90</v>
      </c>
      <c r="F46" s="22"/>
      <c r="G46" s="22"/>
      <c r="H46" s="23"/>
      <c r="I46" s="22"/>
      <c r="J46" s="24"/>
      <c r="K46" s="24"/>
      <c r="L46" s="24"/>
      <c r="M46" s="24"/>
      <c r="N46" s="39" t="s">
        <v>267</v>
      </c>
      <c r="O46" s="39" t="s">
        <v>267</v>
      </c>
      <c r="P46" s="39" t="s">
        <v>267</v>
      </c>
      <c r="Q46" s="39" t="s">
        <v>267</v>
      </c>
      <c r="R46" s="39" t="s">
        <v>267</v>
      </c>
      <c r="S46" s="39" t="s">
        <v>267</v>
      </c>
      <c r="T46" s="39" t="s">
        <v>267</v>
      </c>
      <c r="U46" s="39" t="s">
        <v>267</v>
      </c>
      <c r="V46" s="39" t="s">
        <v>267</v>
      </c>
      <c r="W46" s="39" t="s">
        <v>267</v>
      </c>
      <c r="X46" s="39" t="s">
        <v>267</v>
      </c>
      <c r="Y46" s="39" t="s">
        <v>267</v>
      </c>
      <c r="Z46" s="39" t="s">
        <v>267</v>
      </c>
      <c r="AA46" s="39" t="s">
        <v>267</v>
      </c>
      <c r="AB46" s="39" t="s">
        <v>267</v>
      </c>
      <c r="AC46" s="39" t="s">
        <v>267</v>
      </c>
      <c r="AD46" s="39" t="s">
        <v>267</v>
      </c>
      <c r="AE46" s="39" t="s">
        <v>267</v>
      </c>
      <c r="AF46" s="44" t="s">
        <v>267</v>
      </c>
      <c r="AG46" s="24"/>
    </row>
    <row r="47" spans="2:33" s="26" customFormat="1" ht="27.75" customHeight="1">
      <c r="B47" s="15">
        <v>40</v>
      </c>
      <c r="C47" s="16" t="s">
        <v>180</v>
      </c>
      <c r="D47" s="18" t="s">
        <v>181</v>
      </c>
      <c r="E47" s="13" t="s">
        <v>44</v>
      </c>
      <c r="F47" s="22">
        <v>18</v>
      </c>
      <c r="G47" s="22">
        <v>15</v>
      </c>
      <c r="H47" s="23">
        <v>7</v>
      </c>
      <c r="I47" s="22">
        <v>7</v>
      </c>
      <c r="J47" s="24">
        <v>8</v>
      </c>
      <c r="K47" s="24">
        <v>8</v>
      </c>
      <c r="L47" s="24">
        <v>8</v>
      </c>
      <c r="M47" s="24">
        <v>9</v>
      </c>
      <c r="N47" s="39">
        <f t="shared" si="2"/>
        <v>90</v>
      </c>
      <c r="O47" s="39" t="str">
        <f t="shared" si="23"/>
        <v>A+</v>
      </c>
      <c r="P47" s="39">
        <f t="shared" ref="P47:P52" si="30">G47*5</f>
        <v>75</v>
      </c>
      <c r="Q47" s="39" t="str">
        <f t="shared" si="24"/>
        <v>A-</v>
      </c>
      <c r="R47" s="39">
        <f t="shared" si="5"/>
        <v>70</v>
      </c>
      <c r="S47" s="40" t="str">
        <f t="shared" si="6"/>
        <v>B+</v>
      </c>
      <c r="T47" s="39">
        <f t="shared" si="25"/>
        <v>70</v>
      </c>
      <c r="U47" s="40" t="str">
        <f t="shared" si="7"/>
        <v>B+</v>
      </c>
      <c r="V47" s="39">
        <f t="shared" si="26"/>
        <v>80</v>
      </c>
      <c r="W47" s="40" t="str">
        <f t="shared" si="8"/>
        <v>A</v>
      </c>
      <c r="X47" s="39">
        <f t="shared" si="27"/>
        <v>80</v>
      </c>
      <c r="Y47" s="40" t="str">
        <f t="shared" si="9"/>
        <v>A</v>
      </c>
      <c r="Z47" s="39">
        <f t="shared" si="28"/>
        <v>80</v>
      </c>
      <c r="AA47" s="40" t="str">
        <f t="shared" si="10"/>
        <v>A</v>
      </c>
      <c r="AB47" s="39">
        <f t="shared" si="29"/>
        <v>90</v>
      </c>
      <c r="AC47" s="40" t="str">
        <f t="shared" si="11"/>
        <v>A+</v>
      </c>
      <c r="AD47" s="39">
        <f t="shared" si="12"/>
        <v>635</v>
      </c>
      <c r="AE47" s="41">
        <f t="shared" si="13"/>
        <v>79.375</v>
      </c>
      <c r="AF47" s="44" t="str">
        <f t="shared" si="22"/>
        <v>Very Good</v>
      </c>
      <c r="AG47" s="24"/>
    </row>
    <row r="48" spans="2:33" s="26" customFormat="1" ht="27.75" customHeight="1">
      <c r="B48" s="15">
        <v>41</v>
      </c>
      <c r="C48" s="16" t="s">
        <v>182</v>
      </c>
      <c r="D48" s="18" t="s">
        <v>183</v>
      </c>
      <c r="E48" s="14" t="s">
        <v>21</v>
      </c>
      <c r="F48" s="22">
        <v>18</v>
      </c>
      <c r="G48" s="22">
        <v>18</v>
      </c>
      <c r="H48" s="23">
        <v>7</v>
      </c>
      <c r="I48" s="22">
        <v>7</v>
      </c>
      <c r="J48" s="24">
        <v>8</v>
      </c>
      <c r="K48" s="24">
        <v>9</v>
      </c>
      <c r="L48" s="24">
        <v>8</v>
      </c>
      <c r="M48" s="24">
        <v>8</v>
      </c>
      <c r="N48" s="39">
        <f t="shared" si="2"/>
        <v>90</v>
      </c>
      <c r="O48" s="39" t="str">
        <f>IF(N48="-", "Absent", IF(N48&gt;=85, "A+", IF(N48&gt;=80, "A", IF(N48&gt;=75, "A-", IF(N48&gt;=70, "B+",IF(N48&gt;=65, "B", IF(N48&gt;=60, "B-", IF(N48&gt;=55, "C+", IF(N48&gt;=50, "C", IF(N48&gt;=45, "C-", IF(N48&gt;=39, "D+", IF(N48&gt;=35, "D", IF(N48&gt;=0, "F" )))))))))))))</f>
        <v>A+</v>
      </c>
      <c r="P48" s="39">
        <f t="shared" si="30"/>
        <v>90</v>
      </c>
      <c r="Q48" s="39" t="str">
        <f>IF(P48="-", "Absent", IF(P48&gt;=85, "A+", IF(P48&gt;=80, "A", IF(P48&gt;=75, "A-", IF(P48&gt;=70, "B+",IF(P48&gt;=65, "B", IF(P48&gt;=60, "B-", IF(P48&gt;=55, "C+", IF(P48&gt;=50, "C", IF(P48&gt;=45, "C-", IF(P48&gt;=39, "D+", IF(P48&gt;=35, "D", IF(P48&gt;=0, "F" )))))))))))))</f>
        <v>A+</v>
      </c>
      <c r="R48" s="39">
        <f t="shared" si="5"/>
        <v>70</v>
      </c>
      <c r="S48" s="40" t="str">
        <f t="shared" si="6"/>
        <v>B+</v>
      </c>
      <c r="T48" s="39">
        <f t="shared" si="25"/>
        <v>70</v>
      </c>
      <c r="U48" s="40" t="str">
        <f t="shared" si="7"/>
        <v>B+</v>
      </c>
      <c r="V48" s="39">
        <f t="shared" si="26"/>
        <v>80</v>
      </c>
      <c r="W48" s="40" t="str">
        <f t="shared" si="8"/>
        <v>A</v>
      </c>
      <c r="X48" s="39">
        <f t="shared" si="27"/>
        <v>90</v>
      </c>
      <c r="Y48" s="40" t="str">
        <f t="shared" si="9"/>
        <v>A+</v>
      </c>
      <c r="Z48" s="39">
        <f t="shared" si="28"/>
        <v>80</v>
      </c>
      <c r="AA48" s="40" t="str">
        <f t="shared" si="10"/>
        <v>A</v>
      </c>
      <c r="AB48" s="39">
        <f t="shared" si="29"/>
        <v>80</v>
      </c>
      <c r="AC48" s="40" t="str">
        <f t="shared" si="11"/>
        <v>A</v>
      </c>
      <c r="AD48" s="39">
        <f t="shared" si="12"/>
        <v>650</v>
      </c>
      <c r="AE48" s="41">
        <f t="shared" si="13"/>
        <v>81.25</v>
      </c>
      <c r="AF48" s="44" t="str">
        <f t="shared" ref="AF48:AF67" si="31">IF(AE48="-", "Absent", IF(AE48&gt;=85, "Excellent Pass", IF(AE48&gt;=70, "Very Good", IF(AE48&gt;=55, "Credit Pass", IF(AE48&gt;=40, "Ordinary Pass",IF(AE48&gt;=39, "Fail"))))))</f>
        <v>Very Good</v>
      </c>
      <c r="AG48" s="24"/>
    </row>
    <row r="49" spans="2:33" s="26" customFormat="1" ht="27.75" customHeight="1">
      <c r="B49" s="15">
        <v>42</v>
      </c>
      <c r="C49" s="16" t="s">
        <v>184</v>
      </c>
      <c r="D49" s="18" t="s">
        <v>185</v>
      </c>
      <c r="E49" s="13" t="s">
        <v>46</v>
      </c>
      <c r="F49" s="22">
        <v>20</v>
      </c>
      <c r="G49" s="22">
        <v>18</v>
      </c>
      <c r="H49" s="23">
        <v>6</v>
      </c>
      <c r="I49" s="22">
        <v>7</v>
      </c>
      <c r="J49" s="24">
        <v>8</v>
      </c>
      <c r="K49" s="24">
        <v>9</v>
      </c>
      <c r="L49" s="24">
        <v>8</v>
      </c>
      <c r="M49" s="24">
        <v>9</v>
      </c>
      <c r="N49" s="39">
        <f t="shared" si="2"/>
        <v>100</v>
      </c>
      <c r="O49" s="39" t="str">
        <f t="shared" ref="O49:O67" si="32">IF(N49="-", "Absent", IF(N49&gt;=85, "A+", IF(N49&gt;=80, "A", IF(N49&gt;=75, "A-", IF(N49&gt;=70, "B+",IF(N49&gt;=65, "B", IF(N49&gt;=60, "B-", IF(N49&gt;=55, "C+", IF(N49&gt;=50, "C", IF(N49&gt;=45, "C-", IF(N49&gt;=39, "D+", IF(N49&gt;=35, "D", IF(N49&gt;=0, "F" )))))))))))))</f>
        <v>A+</v>
      </c>
      <c r="P49" s="39">
        <f t="shared" si="30"/>
        <v>90</v>
      </c>
      <c r="Q49" s="39" t="str">
        <f t="shared" ref="Q49:Q67" si="33">IF(P49="-", "Absent", IF(P49&gt;=85, "A+", IF(P49&gt;=80, "A", IF(P49&gt;=75, "A-", IF(P49&gt;=70, "B+",IF(P49&gt;=65, "B", IF(P49&gt;=60, "B-", IF(P49&gt;=55, "C+", IF(P49&gt;=50, "C", IF(P49&gt;=45, "C-", IF(P49&gt;=39, "D+", IF(P49&gt;=35, "D", IF(P49&gt;=0, "F" )))))))))))))</f>
        <v>A+</v>
      </c>
      <c r="R49" s="39">
        <f t="shared" si="5"/>
        <v>60</v>
      </c>
      <c r="S49" s="40" t="str">
        <f t="shared" si="6"/>
        <v>B-</v>
      </c>
      <c r="T49" s="39">
        <f t="shared" si="25"/>
        <v>70</v>
      </c>
      <c r="U49" s="40" t="str">
        <f t="shared" si="7"/>
        <v>B+</v>
      </c>
      <c r="V49" s="39">
        <f t="shared" si="26"/>
        <v>80</v>
      </c>
      <c r="W49" s="40" t="str">
        <f t="shared" si="8"/>
        <v>A</v>
      </c>
      <c r="X49" s="39">
        <f t="shared" si="27"/>
        <v>90</v>
      </c>
      <c r="Y49" s="40" t="str">
        <f t="shared" si="9"/>
        <v>A+</v>
      </c>
      <c r="Z49" s="39">
        <f t="shared" si="28"/>
        <v>80</v>
      </c>
      <c r="AA49" s="40" t="str">
        <f t="shared" si="10"/>
        <v>A</v>
      </c>
      <c r="AB49" s="39">
        <f t="shared" si="29"/>
        <v>90</v>
      </c>
      <c r="AC49" s="40" t="str">
        <f t="shared" si="11"/>
        <v>A+</v>
      </c>
      <c r="AD49" s="39">
        <f t="shared" si="12"/>
        <v>660</v>
      </c>
      <c r="AE49" s="41">
        <f t="shared" si="13"/>
        <v>82.5</v>
      </c>
      <c r="AF49" s="44" t="str">
        <f t="shared" si="31"/>
        <v>Very Good</v>
      </c>
      <c r="AG49" s="24"/>
    </row>
    <row r="50" spans="2:33" s="26" customFormat="1" ht="27.75" customHeight="1">
      <c r="B50" s="15">
        <v>43</v>
      </c>
      <c r="C50" s="16" t="s">
        <v>186</v>
      </c>
      <c r="D50" s="18">
        <v>200180401036</v>
      </c>
      <c r="E50" s="13" t="s">
        <v>62</v>
      </c>
      <c r="F50" s="22">
        <v>17</v>
      </c>
      <c r="G50" s="22">
        <v>16</v>
      </c>
      <c r="H50" s="22">
        <v>7</v>
      </c>
      <c r="I50" s="22">
        <v>7</v>
      </c>
      <c r="J50" s="24">
        <v>6</v>
      </c>
      <c r="K50" s="24">
        <v>8</v>
      </c>
      <c r="L50" s="24">
        <v>8</v>
      </c>
      <c r="M50" s="24">
        <v>8</v>
      </c>
      <c r="N50" s="39">
        <f t="shared" si="2"/>
        <v>85</v>
      </c>
      <c r="O50" s="39" t="str">
        <f t="shared" si="32"/>
        <v>A+</v>
      </c>
      <c r="P50" s="39">
        <f t="shared" si="30"/>
        <v>80</v>
      </c>
      <c r="Q50" s="39" t="str">
        <f t="shared" si="33"/>
        <v>A</v>
      </c>
      <c r="R50" s="39">
        <f t="shared" si="5"/>
        <v>70</v>
      </c>
      <c r="S50" s="40" t="str">
        <f t="shared" si="6"/>
        <v>B+</v>
      </c>
      <c r="T50" s="39">
        <f t="shared" si="25"/>
        <v>70</v>
      </c>
      <c r="U50" s="40" t="str">
        <f t="shared" si="7"/>
        <v>B+</v>
      </c>
      <c r="V50" s="39">
        <f t="shared" si="26"/>
        <v>60</v>
      </c>
      <c r="W50" s="40" t="str">
        <f t="shared" si="8"/>
        <v>B-</v>
      </c>
      <c r="X50" s="39">
        <f t="shared" si="27"/>
        <v>80</v>
      </c>
      <c r="Y50" s="40" t="str">
        <f t="shared" si="9"/>
        <v>A</v>
      </c>
      <c r="Z50" s="39">
        <f t="shared" si="28"/>
        <v>80</v>
      </c>
      <c r="AA50" s="40" t="str">
        <f t="shared" si="10"/>
        <v>A</v>
      </c>
      <c r="AB50" s="39">
        <f t="shared" si="29"/>
        <v>80</v>
      </c>
      <c r="AC50" s="40" t="str">
        <f t="shared" si="11"/>
        <v>A</v>
      </c>
      <c r="AD50" s="39">
        <f t="shared" si="12"/>
        <v>605</v>
      </c>
      <c r="AE50" s="41">
        <f t="shared" si="13"/>
        <v>75.625</v>
      </c>
      <c r="AF50" s="44" t="str">
        <f t="shared" si="31"/>
        <v>Very Good</v>
      </c>
      <c r="AG50" s="24"/>
    </row>
    <row r="51" spans="2:33" s="26" customFormat="1" ht="27.75" customHeight="1">
      <c r="B51" s="15">
        <v>44</v>
      </c>
      <c r="C51" s="16" t="s">
        <v>187</v>
      </c>
      <c r="D51" s="18">
        <v>198158200118</v>
      </c>
      <c r="E51" s="13" t="s">
        <v>35</v>
      </c>
      <c r="F51" s="22">
        <v>14</v>
      </c>
      <c r="G51" s="22">
        <v>15</v>
      </c>
      <c r="H51" s="23">
        <v>5</v>
      </c>
      <c r="I51" s="22">
        <v>6</v>
      </c>
      <c r="J51" s="24">
        <v>8</v>
      </c>
      <c r="K51" s="24">
        <v>7</v>
      </c>
      <c r="L51" s="24">
        <v>6</v>
      </c>
      <c r="M51" s="24">
        <v>5</v>
      </c>
      <c r="N51" s="39">
        <f t="shared" si="2"/>
        <v>70</v>
      </c>
      <c r="O51" s="39" t="str">
        <f t="shared" si="32"/>
        <v>B+</v>
      </c>
      <c r="P51" s="39">
        <f t="shared" si="30"/>
        <v>75</v>
      </c>
      <c r="Q51" s="39" t="str">
        <f t="shared" si="33"/>
        <v>A-</v>
      </c>
      <c r="R51" s="39">
        <f t="shared" si="5"/>
        <v>50</v>
      </c>
      <c r="S51" s="40" t="str">
        <f t="shared" si="6"/>
        <v>C</v>
      </c>
      <c r="T51" s="39">
        <f t="shared" si="25"/>
        <v>60</v>
      </c>
      <c r="U51" s="40" t="str">
        <f t="shared" si="7"/>
        <v>B-</v>
      </c>
      <c r="V51" s="39">
        <f t="shared" si="26"/>
        <v>80</v>
      </c>
      <c r="W51" s="40" t="str">
        <f t="shared" si="8"/>
        <v>A</v>
      </c>
      <c r="X51" s="39">
        <f t="shared" si="27"/>
        <v>70</v>
      </c>
      <c r="Y51" s="40" t="str">
        <f t="shared" si="9"/>
        <v>B+</v>
      </c>
      <c r="Z51" s="39">
        <f t="shared" si="28"/>
        <v>60</v>
      </c>
      <c r="AA51" s="40" t="str">
        <f t="shared" si="10"/>
        <v>B-</v>
      </c>
      <c r="AB51" s="39">
        <f t="shared" si="29"/>
        <v>50</v>
      </c>
      <c r="AC51" s="40" t="str">
        <f t="shared" si="11"/>
        <v>C</v>
      </c>
      <c r="AD51" s="39">
        <f t="shared" si="12"/>
        <v>515</v>
      </c>
      <c r="AE51" s="41">
        <f t="shared" si="13"/>
        <v>64.375</v>
      </c>
      <c r="AF51" s="44" t="str">
        <f t="shared" si="31"/>
        <v>Credit Pass</v>
      </c>
      <c r="AG51" s="24"/>
    </row>
    <row r="52" spans="2:33" s="26" customFormat="1" ht="27.75" customHeight="1">
      <c r="B52" s="15">
        <v>45</v>
      </c>
      <c r="C52" s="16" t="s">
        <v>188</v>
      </c>
      <c r="D52" s="18" t="s">
        <v>189</v>
      </c>
      <c r="E52" s="13" t="s">
        <v>52</v>
      </c>
      <c r="F52" s="22">
        <v>18</v>
      </c>
      <c r="G52" s="22">
        <v>17</v>
      </c>
      <c r="H52" s="23">
        <v>5</v>
      </c>
      <c r="I52" s="22">
        <v>7</v>
      </c>
      <c r="J52" s="24">
        <v>7</v>
      </c>
      <c r="K52" s="24">
        <v>7</v>
      </c>
      <c r="L52" s="24">
        <v>8</v>
      </c>
      <c r="M52" s="24">
        <v>7</v>
      </c>
      <c r="N52" s="39">
        <f t="shared" si="2"/>
        <v>90</v>
      </c>
      <c r="O52" s="39" t="str">
        <f t="shared" si="32"/>
        <v>A+</v>
      </c>
      <c r="P52" s="39">
        <f t="shared" si="30"/>
        <v>85</v>
      </c>
      <c r="Q52" s="39" t="str">
        <f t="shared" si="33"/>
        <v>A+</v>
      </c>
      <c r="R52" s="39">
        <f t="shared" si="5"/>
        <v>50</v>
      </c>
      <c r="S52" s="40" t="str">
        <f t="shared" si="6"/>
        <v>C</v>
      </c>
      <c r="T52" s="39">
        <f t="shared" si="25"/>
        <v>70</v>
      </c>
      <c r="U52" s="40" t="str">
        <f t="shared" si="7"/>
        <v>B+</v>
      </c>
      <c r="V52" s="39">
        <f t="shared" si="26"/>
        <v>70</v>
      </c>
      <c r="W52" s="40" t="str">
        <f t="shared" si="8"/>
        <v>B+</v>
      </c>
      <c r="X52" s="39">
        <f t="shared" si="27"/>
        <v>70</v>
      </c>
      <c r="Y52" s="40" t="str">
        <f t="shared" si="9"/>
        <v>B+</v>
      </c>
      <c r="Z52" s="39">
        <f t="shared" si="28"/>
        <v>80</v>
      </c>
      <c r="AA52" s="40" t="str">
        <f t="shared" si="10"/>
        <v>A</v>
      </c>
      <c r="AB52" s="39">
        <f t="shared" si="29"/>
        <v>70</v>
      </c>
      <c r="AC52" s="40" t="str">
        <f t="shared" si="11"/>
        <v>B+</v>
      </c>
      <c r="AD52" s="39">
        <f t="shared" si="12"/>
        <v>585</v>
      </c>
      <c r="AE52" s="41">
        <f t="shared" si="13"/>
        <v>73.125</v>
      </c>
      <c r="AF52" s="44" t="str">
        <f t="shared" si="31"/>
        <v>Very Good</v>
      </c>
      <c r="AG52" s="24"/>
    </row>
    <row r="53" spans="2:33" s="26" customFormat="1" ht="27.75" customHeight="1">
      <c r="B53" s="15">
        <v>46</v>
      </c>
      <c r="C53" s="25" t="s">
        <v>190</v>
      </c>
      <c r="D53" s="19" t="s">
        <v>191</v>
      </c>
      <c r="E53" s="13" t="s">
        <v>91</v>
      </c>
      <c r="F53" s="22"/>
      <c r="G53" s="22"/>
      <c r="H53" s="23"/>
      <c r="I53" s="22"/>
      <c r="J53" s="24"/>
      <c r="K53" s="24"/>
      <c r="L53" s="24"/>
      <c r="M53" s="24"/>
      <c r="N53" s="39" t="s">
        <v>267</v>
      </c>
      <c r="O53" s="39" t="s">
        <v>267</v>
      </c>
      <c r="P53" s="39" t="s">
        <v>267</v>
      </c>
      <c r="Q53" s="39" t="s">
        <v>267</v>
      </c>
      <c r="R53" s="39" t="s">
        <v>267</v>
      </c>
      <c r="S53" s="39" t="s">
        <v>267</v>
      </c>
      <c r="T53" s="39" t="s">
        <v>267</v>
      </c>
      <c r="U53" s="39" t="s">
        <v>267</v>
      </c>
      <c r="V53" s="39" t="s">
        <v>267</v>
      </c>
      <c r="W53" s="39" t="s">
        <v>267</v>
      </c>
      <c r="X53" s="39" t="s">
        <v>267</v>
      </c>
      <c r="Y53" s="39" t="s">
        <v>267</v>
      </c>
      <c r="Z53" s="39" t="s">
        <v>267</v>
      </c>
      <c r="AA53" s="39" t="s">
        <v>267</v>
      </c>
      <c r="AB53" s="39" t="s">
        <v>267</v>
      </c>
      <c r="AC53" s="39" t="s">
        <v>267</v>
      </c>
      <c r="AD53" s="39" t="s">
        <v>267</v>
      </c>
      <c r="AE53" s="39" t="s">
        <v>267</v>
      </c>
      <c r="AF53" s="44" t="s">
        <v>267</v>
      </c>
      <c r="AG53" s="24"/>
    </row>
    <row r="54" spans="2:33" s="26" customFormat="1" ht="27.75" customHeight="1">
      <c r="B54" s="15">
        <v>47</v>
      </c>
      <c r="C54" s="25" t="s">
        <v>192</v>
      </c>
      <c r="D54" s="19" t="s">
        <v>193</v>
      </c>
      <c r="E54" s="14" t="s">
        <v>92</v>
      </c>
      <c r="F54" s="22"/>
      <c r="G54" s="22"/>
      <c r="H54" s="23"/>
      <c r="I54" s="22"/>
      <c r="J54" s="24"/>
      <c r="K54" s="24"/>
      <c r="L54" s="24"/>
      <c r="M54" s="24"/>
      <c r="N54" s="39" t="s">
        <v>267</v>
      </c>
      <c r="O54" s="39" t="s">
        <v>267</v>
      </c>
      <c r="P54" s="39" t="s">
        <v>267</v>
      </c>
      <c r="Q54" s="39" t="s">
        <v>267</v>
      </c>
      <c r="R54" s="39" t="s">
        <v>267</v>
      </c>
      <c r="S54" s="39" t="s">
        <v>267</v>
      </c>
      <c r="T54" s="39" t="s">
        <v>267</v>
      </c>
      <c r="U54" s="39" t="s">
        <v>267</v>
      </c>
      <c r="V54" s="39" t="s">
        <v>267</v>
      </c>
      <c r="W54" s="39" t="s">
        <v>267</v>
      </c>
      <c r="X54" s="39" t="s">
        <v>267</v>
      </c>
      <c r="Y54" s="39" t="s">
        <v>267</v>
      </c>
      <c r="Z54" s="39" t="s">
        <v>267</v>
      </c>
      <c r="AA54" s="39" t="s">
        <v>267</v>
      </c>
      <c r="AB54" s="39" t="s">
        <v>267</v>
      </c>
      <c r="AC54" s="39" t="s">
        <v>267</v>
      </c>
      <c r="AD54" s="39" t="s">
        <v>267</v>
      </c>
      <c r="AE54" s="39" t="s">
        <v>267</v>
      </c>
      <c r="AF54" s="44" t="s">
        <v>267</v>
      </c>
      <c r="AG54" s="24"/>
    </row>
    <row r="55" spans="2:33" s="26" customFormat="1" ht="27.75" customHeight="1">
      <c r="B55" s="15">
        <v>48</v>
      </c>
      <c r="C55" s="25" t="s">
        <v>194</v>
      </c>
      <c r="D55" s="19" t="s">
        <v>195</v>
      </c>
      <c r="E55" s="13" t="s">
        <v>93</v>
      </c>
      <c r="F55" s="22"/>
      <c r="G55" s="22"/>
      <c r="H55" s="23"/>
      <c r="I55" s="22"/>
      <c r="J55" s="24"/>
      <c r="K55" s="24"/>
      <c r="L55" s="24"/>
      <c r="M55" s="24"/>
      <c r="N55" s="39" t="s">
        <v>267</v>
      </c>
      <c r="O55" s="39" t="s">
        <v>267</v>
      </c>
      <c r="P55" s="39" t="s">
        <v>267</v>
      </c>
      <c r="Q55" s="39" t="s">
        <v>267</v>
      </c>
      <c r="R55" s="39" t="s">
        <v>267</v>
      </c>
      <c r="S55" s="39" t="s">
        <v>267</v>
      </c>
      <c r="T55" s="39" t="s">
        <v>267</v>
      </c>
      <c r="U55" s="39" t="s">
        <v>267</v>
      </c>
      <c r="V55" s="39" t="s">
        <v>267</v>
      </c>
      <c r="W55" s="39" t="s">
        <v>267</v>
      </c>
      <c r="X55" s="39" t="s">
        <v>267</v>
      </c>
      <c r="Y55" s="39" t="s">
        <v>267</v>
      </c>
      <c r="Z55" s="39" t="s">
        <v>267</v>
      </c>
      <c r="AA55" s="39" t="s">
        <v>267</v>
      </c>
      <c r="AB55" s="39" t="s">
        <v>267</v>
      </c>
      <c r="AC55" s="39" t="s">
        <v>267</v>
      </c>
      <c r="AD55" s="39" t="s">
        <v>267</v>
      </c>
      <c r="AE55" s="39" t="s">
        <v>267</v>
      </c>
      <c r="AF55" s="44" t="s">
        <v>267</v>
      </c>
      <c r="AG55" s="24"/>
    </row>
    <row r="56" spans="2:33" s="26" customFormat="1" ht="27.75" customHeight="1">
      <c r="B56" s="15">
        <v>49</v>
      </c>
      <c r="C56" s="25" t="s">
        <v>196</v>
      </c>
      <c r="D56" s="19">
        <v>198367400637</v>
      </c>
      <c r="E56" s="13" t="s">
        <v>94</v>
      </c>
      <c r="F56" s="22"/>
      <c r="G56" s="22"/>
      <c r="H56" s="23"/>
      <c r="I56" s="22"/>
      <c r="J56" s="24"/>
      <c r="K56" s="24"/>
      <c r="L56" s="24"/>
      <c r="M56" s="24"/>
      <c r="N56" s="39" t="s">
        <v>267</v>
      </c>
      <c r="O56" s="39" t="s">
        <v>267</v>
      </c>
      <c r="P56" s="39" t="s">
        <v>267</v>
      </c>
      <c r="Q56" s="39" t="s">
        <v>267</v>
      </c>
      <c r="R56" s="39" t="s">
        <v>267</v>
      </c>
      <c r="S56" s="39" t="s">
        <v>267</v>
      </c>
      <c r="T56" s="39" t="s">
        <v>267</v>
      </c>
      <c r="U56" s="39" t="s">
        <v>267</v>
      </c>
      <c r="V56" s="39" t="s">
        <v>267</v>
      </c>
      <c r="W56" s="39" t="s">
        <v>267</v>
      </c>
      <c r="X56" s="39" t="s">
        <v>267</v>
      </c>
      <c r="Y56" s="39" t="s">
        <v>267</v>
      </c>
      <c r="Z56" s="39" t="s">
        <v>267</v>
      </c>
      <c r="AA56" s="39" t="s">
        <v>267</v>
      </c>
      <c r="AB56" s="39" t="s">
        <v>267</v>
      </c>
      <c r="AC56" s="39" t="s">
        <v>267</v>
      </c>
      <c r="AD56" s="39" t="s">
        <v>267</v>
      </c>
      <c r="AE56" s="39" t="s">
        <v>267</v>
      </c>
      <c r="AF56" s="44" t="s">
        <v>267</v>
      </c>
      <c r="AG56" s="24"/>
    </row>
    <row r="57" spans="2:33" s="26" customFormat="1" ht="27.75" customHeight="1">
      <c r="B57" s="15">
        <v>50</v>
      </c>
      <c r="C57" s="16" t="s">
        <v>197</v>
      </c>
      <c r="D57" s="18" t="s">
        <v>198</v>
      </c>
      <c r="E57" s="13" t="s">
        <v>13</v>
      </c>
      <c r="F57" s="22">
        <v>17</v>
      </c>
      <c r="G57" s="22">
        <v>17</v>
      </c>
      <c r="H57" s="23">
        <v>5</v>
      </c>
      <c r="I57" s="22">
        <v>5</v>
      </c>
      <c r="J57" s="24">
        <v>6</v>
      </c>
      <c r="K57" s="24">
        <v>8</v>
      </c>
      <c r="L57" s="24">
        <v>8</v>
      </c>
      <c r="M57" s="24">
        <v>8</v>
      </c>
      <c r="N57" s="39">
        <f t="shared" si="2"/>
        <v>85</v>
      </c>
      <c r="O57" s="39" t="str">
        <f t="shared" si="32"/>
        <v>A+</v>
      </c>
      <c r="P57" s="39">
        <f>G57*5</f>
        <v>85</v>
      </c>
      <c r="Q57" s="39" t="str">
        <f t="shared" si="33"/>
        <v>A+</v>
      </c>
      <c r="R57" s="39">
        <f t="shared" si="5"/>
        <v>50</v>
      </c>
      <c r="S57" s="40" t="str">
        <f t="shared" si="6"/>
        <v>C</v>
      </c>
      <c r="T57" s="39">
        <f t="shared" si="25"/>
        <v>50</v>
      </c>
      <c r="U57" s="40" t="str">
        <f t="shared" si="7"/>
        <v>C</v>
      </c>
      <c r="V57" s="39">
        <f t="shared" si="26"/>
        <v>60</v>
      </c>
      <c r="W57" s="40" t="str">
        <f t="shared" si="8"/>
        <v>B-</v>
      </c>
      <c r="X57" s="39">
        <f t="shared" si="27"/>
        <v>80</v>
      </c>
      <c r="Y57" s="40" t="str">
        <f t="shared" si="9"/>
        <v>A</v>
      </c>
      <c r="Z57" s="39">
        <f t="shared" si="28"/>
        <v>80</v>
      </c>
      <c r="AA57" s="40" t="str">
        <f t="shared" si="10"/>
        <v>A</v>
      </c>
      <c r="AB57" s="39">
        <f t="shared" si="29"/>
        <v>80</v>
      </c>
      <c r="AC57" s="40" t="str">
        <f t="shared" si="11"/>
        <v>A</v>
      </c>
      <c r="AD57" s="39">
        <f t="shared" si="12"/>
        <v>570</v>
      </c>
      <c r="AE57" s="41">
        <f t="shared" si="13"/>
        <v>71.25</v>
      </c>
      <c r="AF57" s="44" t="str">
        <f t="shared" si="31"/>
        <v>Very Good</v>
      </c>
      <c r="AG57" s="24"/>
    </row>
    <row r="58" spans="2:33" s="26" customFormat="1" ht="27.75" customHeight="1">
      <c r="B58" s="15">
        <v>51</v>
      </c>
      <c r="C58" s="16" t="s">
        <v>199</v>
      </c>
      <c r="D58" s="18" t="s">
        <v>200</v>
      </c>
      <c r="E58" s="13" t="s">
        <v>15</v>
      </c>
      <c r="F58" s="22">
        <v>15</v>
      </c>
      <c r="G58" s="22">
        <v>12</v>
      </c>
      <c r="H58" s="23">
        <v>6</v>
      </c>
      <c r="I58" s="22">
        <v>7</v>
      </c>
      <c r="J58" s="24">
        <v>7</v>
      </c>
      <c r="K58" s="24">
        <v>8</v>
      </c>
      <c r="L58" s="24">
        <v>9</v>
      </c>
      <c r="M58" s="24">
        <v>9</v>
      </c>
      <c r="N58" s="39">
        <f t="shared" si="2"/>
        <v>75</v>
      </c>
      <c r="O58" s="39" t="str">
        <f t="shared" si="32"/>
        <v>A-</v>
      </c>
      <c r="P58" s="39">
        <f>G58*5</f>
        <v>60</v>
      </c>
      <c r="Q58" s="39" t="str">
        <f t="shared" si="33"/>
        <v>B-</v>
      </c>
      <c r="R58" s="39">
        <f t="shared" si="5"/>
        <v>60</v>
      </c>
      <c r="S58" s="40" t="str">
        <f t="shared" si="6"/>
        <v>B-</v>
      </c>
      <c r="T58" s="39">
        <f t="shared" si="25"/>
        <v>70</v>
      </c>
      <c r="U58" s="40" t="str">
        <f t="shared" si="7"/>
        <v>B+</v>
      </c>
      <c r="V58" s="39">
        <f t="shared" si="26"/>
        <v>70</v>
      </c>
      <c r="W58" s="40" t="str">
        <f t="shared" si="8"/>
        <v>B+</v>
      </c>
      <c r="X58" s="39">
        <f t="shared" si="27"/>
        <v>80</v>
      </c>
      <c r="Y58" s="40" t="str">
        <f t="shared" si="9"/>
        <v>A</v>
      </c>
      <c r="Z58" s="39">
        <f t="shared" si="28"/>
        <v>90</v>
      </c>
      <c r="AA58" s="40" t="str">
        <f t="shared" si="10"/>
        <v>A+</v>
      </c>
      <c r="AB58" s="39">
        <f t="shared" si="29"/>
        <v>90</v>
      </c>
      <c r="AC58" s="40" t="str">
        <f t="shared" si="11"/>
        <v>A+</v>
      </c>
      <c r="AD58" s="39">
        <f t="shared" si="12"/>
        <v>595</v>
      </c>
      <c r="AE58" s="41">
        <f t="shared" si="13"/>
        <v>74.375</v>
      </c>
      <c r="AF58" s="44" t="str">
        <f t="shared" si="31"/>
        <v>Very Good</v>
      </c>
      <c r="AG58" s="24"/>
    </row>
    <row r="59" spans="2:33" s="26" customFormat="1" ht="27.75" customHeight="1">
      <c r="B59" s="15">
        <v>52</v>
      </c>
      <c r="C59" s="16" t="s">
        <v>201</v>
      </c>
      <c r="D59" s="18">
        <v>200700804010</v>
      </c>
      <c r="E59" s="13" t="s">
        <v>29</v>
      </c>
      <c r="F59" s="22">
        <v>18</v>
      </c>
      <c r="G59" s="22">
        <v>16</v>
      </c>
      <c r="H59" s="23">
        <v>6</v>
      </c>
      <c r="I59" s="22">
        <v>7</v>
      </c>
      <c r="J59" s="24">
        <v>7</v>
      </c>
      <c r="K59" s="24">
        <v>8</v>
      </c>
      <c r="L59" s="24">
        <v>9</v>
      </c>
      <c r="M59" s="24">
        <v>9</v>
      </c>
      <c r="N59" s="39">
        <f t="shared" si="2"/>
        <v>90</v>
      </c>
      <c r="O59" s="39" t="str">
        <f t="shared" si="32"/>
        <v>A+</v>
      </c>
      <c r="P59" s="39">
        <f>G59*5</f>
        <v>80</v>
      </c>
      <c r="Q59" s="39" t="str">
        <f t="shared" si="33"/>
        <v>A</v>
      </c>
      <c r="R59" s="39">
        <f t="shared" si="5"/>
        <v>60</v>
      </c>
      <c r="S59" s="40" t="str">
        <f t="shared" si="6"/>
        <v>B-</v>
      </c>
      <c r="T59" s="39">
        <f t="shared" si="25"/>
        <v>70</v>
      </c>
      <c r="U59" s="40" t="str">
        <f t="shared" si="7"/>
        <v>B+</v>
      </c>
      <c r="V59" s="39">
        <f t="shared" si="26"/>
        <v>70</v>
      </c>
      <c r="W59" s="40" t="str">
        <f t="shared" si="8"/>
        <v>B+</v>
      </c>
      <c r="X59" s="39">
        <f t="shared" si="27"/>
        <v>80</v>
      </c>
      <c r="Y59" s="40" t="str">
        <f t="shared" si="9"/>
        <v>A</v>
      </c>
      <c r="Z59" s="39">
        <f t="shared" si="28"/>
        <v>90</v>
      </c>
      <c r="AA59" s="40" t="str">
        <f t="shared" si="10"/>
        <v>A+</v>
      </c>
      <c r="AB59" s="39">
        <f t="shared" si="29"/>
        <v>90</v>
      </c>
      <c r="AC59" s="40" t="str">
        <f t="shared" si="11"/>
        <v>A+</v>
      </c>
      <c r="AD59" s="39">
        <f t="shared" si="12"/>
        <v>630</v>
      </c>
      <c r="AE59" s="41">
        <f t="shared" si="13"/>
        <v>78.75</v>
      </c>
      <c r="AF59" s="44" t="str">
        <f t="shared" si="31"/>
        <v>Very Good</v>
      </c>
      <c r="AG59" s="24"/>
    </row>
    <row r="60" spans="2:33" s="26" customFormat="1" ht="27.75" customHeight="1">
      <c r="B60" s="15">
        <v>53</v>
      </c>
      <c r="C60" s="16" t="s">
        <v>202</v>
      </c>
      <c r="D60" s="18">
        <v>197255601296</v>
      </c>
      <c r="E60" s="14" t="s">
        <v>50</v>
      </c>
      <c r="F60" s="22">
        <v>14</v>
      </c>
      <c r="G60" s="22">
        <v>11</v>
      </c>
      <c r="H60" s="23">
        <v>6</v>
      </c>
      <c r="I60" s="22">
        <v>7</v>
      </c>
      <c r="J60" s="24">
        <v>7</v>
      </c>
      <c r="K60" s="24">
        <v>8</v>
      </c>
      <c r="L60" s="24">
        <v>9</v>
      </c>
      <c r="M60" s="24">
        <v>8</v>
      </c>
      <c r="N60" s="39">
        <f t="shared" si="2"/>
        <v>70</v>
      </c>
      <c r="O60" s="39" t="str">
        <f t="shared" si="32"/>
        <v>B+</v>
      </c>
      <c r="P60" s="39">
        <f>G60*5</f>
        <v>55</v>
      </c>
      <c r="Q60" s="39" t="str">
        <f t="shared" si="33"/>
        <v>C+</v>
      </c>
      <c r="R60" s="39">
        <f t="shared" si="5"/>
        <v>60</v>
      </c>
      <c r="S60" s="40" t="str">
        <f t="shared" si="6"/>
        <v>B-</v>
      </c>
      <c r="T60" s="39">
        <f t="shared" si="25"/>
        <v>70</v>
      </c>
      <c r="U60" s="40" t="str">
        <f t="shared" si="7"/>
        <v>B+</v>
      </c>
      <c r="V60" s="39">
        <f t="shared" si="26"/>
        <v>70</v>
      </c>
      <c r="W60" s="40" t="str">
        <f t="shared" si="8"/>
        <v>B+</v>
      </c>
      <c r="X60" s="39">
        <f t="shared" si="27"/>
        <v>80</v>
      </c>
      <c r="Y60" s="40" t="str">
        <f t="shared" si="9"/>
        <v>A</v>
      </c>
      <c r="Z60" s="39">
        <f t="shared" si="28"/>
        <v>90</v>
      </c>
      <c r="AA60" s="40" t="str">
        <f t="shared" si="10"/>
        <v>A+</v>
      </c>
      <c r="AB60" s="39">
        <f t="shared" si="29"/>
        <v>80</v>
      </c>
      <c r="AC60" s="40" t="str">
        <f t="shared" si="11"/>
        <v>A</v>
      </c>
      <c r="AD60" s="39">
        <f t="shared" si="12"/>
        <v>575</v>
      </c>
      <c r="AE60" s="41">
        <f t="shared" si="13"/>
        <v>71.875</v>
      </c>
      <c r="AF60" s="44" t="str">
        <f t="shared" si="31"/>
        <v>Very Good</v>
      </c>
      <c r="AG60" s="24"/>
    </row>
    <row r="61" spans="2:33" s="26" customFormat="1" ht="27.75" customHeight="1">
      <c r="B61" s="15">
        <v>54</v>
      </c>
      <c r="C61" s="25" t="s">
        <v>203</v>
      </c>
      <c r="D61" s="19" t="s">
        <v>204</v>
      </c>
      <c r="E61" s="13" t="s">
        <v>51</v>
      </c>
      <c r="F61" s="22"/>
      <c r="G61" s="22"/>
      <c r="H61" s="23"/>
      <c r="I61" s="22"/>
      <c r="J61" s="24"/>
      <c r="K61" s="24"/>
      <c r="L61" s="24"/>
      <c r="M61" s="24"/>
      <c r="N61" s="39" t="s">
        <v>267</v>
      </c>
      <c r="O61" s="39" t="s">
        <v>267</v>
      </c>
      <c r="P61" s="39" t="s">
        <v>267</v>
      </c>
      <c r="Q61" s="39" t="s">
        <v>267</v>
      </c>
      <c r="R61" s="39" t="s">
        <v>267</v>
      </c>
      <c r="S61" s="39" t="s">
        <v>267</v>
      </c>
      <c r="T61" s="39" t="s">
        <v>267</v>
      </c>
      <c r="U61" s="39" t="s">
        <v>267</v>
      </c>
      <c r="V61" s="39" t="s">
        <v>267</v>
      </c>
      <c r="W61" s="39" t="s">
        <v>267</v>
      </c>
      <c r="X61" s="39" t="s">
        <v>267</v>
      </c>
      <c r="Y61" s="39" t="s">
        <v>267</v>
      </c>
      <c r="Z61" s="39" t="s">
        <v>267</v>
      </c>
      <c r="AA61" s="39" t="s">
        <v>267</v>
      </c>
      <c r="AB61" s="39" t="s">
        <v>267</v>
      </c>
      <c r="AC61" s="39" t="s">
        <v>267</v>
      </c>
      <c r="AD61" s="39" t="s">
        <v>267</v>
      </c>
      <c r="AE61" s="39" t="s">
        <v>267</v>
      </c>
      <c r="AF61" s="44" t="s">
        <v>267</v>
      </c>
      <c r="AG61" s="24"/>
    </row>
    <row r="62" spans="2:33" s="26" customFormat="1" ht="27.75" customHeight="1">
      <c r="B62" s="15">
        <v>55</v>
      </c>
      <c r="C62" s="16" t="s">
        <v>205</v>
      </c>
      <c r="D62" s="18">
        <v>200560401678</v>
      </c>
      <c r="E62" s="13" t="s">
        <v>18</v>
      </c>
      <c r="F62" s="22">
        <v>14</v>
      </c>
      <c r="G62" s="22">
        <v>12</v>
      </c>
      <c r="H62" s="23">
        <v>7</v>
      </c>
      <c r="I62" s="22">
        <v>7</v>
      </c>
      <c r="J62" s="24">
        <v>7</v>
      </c>
      <c r="K62" s="24">
        <v>8</v>
      </c>
      <c r="L62" s="24">
        <v>9</v>
      </c>
      <c r="M62" s="24">
        <v>9</v>
      </c>
      <c r="N62" s="39">
        <f t="shared" si="2"/>
        <v>70</v>
      </c>
      <c r="O62" s="39" t="str">
        <f t="shared" si="32"/>
        <v>B+</v>
      </c>
      <c r="P62" s="39">
        <f t="shared" ref="P62:P67" si="34">G62*5</f>
        <v>60</v>
      </c>
      <c r="Q62" s="39" t="str">
        <f t="shared" si="33"/>
        <v>B-</v>
      </c>
      <c r="R62" s="39">
        <f t="shared" si="5"/>
        <v>70</v>
      </c>
      <c r="S62" s="40" t="str">
        <f t="shared" si="6"/>
        <v>B+</v>
      </c>
      <c r="T62" s="39">
        <f t="shared" si="25"/>
        <v>70</v>
      </c>
      <c r="U62" s="40" t="str">
        <f t="shared" si="7"/>
        <v>B+</v>
      </c>
      <c r="V62" s="39">
        <f t="shared" si="26"/>
        <v>70</v>
      </c>
      <c r="W62" s="40" t="str">
        <f t="shared" si="8"/>
        <v>B+</v>
      </c>
      <c r="X62" s="39">
        <f t="shared" si="27"/>
        <v>80</v>
      </c>
      <c r="Y62" s="40" t="str">
        <f t="shared" si="9"/>
        <v>A</v>
      </c>
      <c r="Z62" s="39">
        <f t="shared" si="28"/>
        <v>90</v>
      </c>
      <c r="AA62" s="40" t="str">
        <f t="shared" si="10"/>
        <v>A+</v>
      </c>
      <c r="AB62" s="39">
        <f t="shared" si="29"/>
        <v>90</v>
      </c>
      <c r="AC62" s="40" t="str">
        <f t="shared" si="11"/>
        <v>A+</v>
      </c>
      <c r="AD62" s="39">
        <f t="shared" si="12"/>
        <v>600</v>
      </c>
      <c r="AE62" s="41">
        <f t="shared" si="13"/>
        <v>75</v>
      </c>
      <c r="AF62" s="44" t="str">
        <f t="shared" si="31"/>
        <v>Very Good</v>
      </c>
      <c r="AG62" s="24"/>
    </row>
    <row r="63" spans="2:33" s="26" customFormat="1" ht="27.75" customHeight="1">
      <c r="B63" s="15">
        <v>56</v>
      </c>
      <c r="C63" s="16" t="s">
        <v>206</v>
      </c>
      <c r="D63" s="18" t="s">
        <v>207</v>
      </c>
      <c r="E63" s="13" t="s">
        <v>42</v>
      </c>
      <c r="F63" s="22">
        <v>19</v>
      </c>
      <c r="G63" s="22">
        <v>14</v>
      </c>
      <c r="H63" s="23">
        <v>6</v>
      </c>
      <c r="I63" s="22">
        <v>9</v>
      </c>
      <c r="J63" s="24">
        <v>7</v>
      </c>
      <c r="K63" s="24">
        <v>8</v>
      </c>
      <c r="L63" s="24">
        <v>10</v>
      </c>
      <c r="M63" s="24">
        <v>10</v>
      </c>
      <c r="N63" s="39">
        <f t="shared" si="2"/>
        <v>95</v>
      </c>
      <c r="O63" s="39" t="str">
        <f t="shared" si="32"/>
        <v>A+</v>
      </c>
      <c r="P63" s="39">
        <f t="shared" si="34"/>
        <v>70</v>
      </c>
      <c r="Q63" s="39" t="str">
        <f t="shared" si="33"/>
        <v>B+</v>
      </c>
      <c r="R63" s="39">
        <f t="shared" si="5"/>
        <v>60</v>
      </c>
      <c r="S63" s="40" t="str">
        <f t="shared" si="6"/>
        <v>B-</v>
      </c>
      <c r="T63" s="39">
        <f t="shared" si="25"/>
        <v>90</v>
      </c>
      <c r="U63" s="40" t="str">
        <f t="shared" si="7"/>
        <v>A+</v>
      </c>
      <c r="V63" s="39">
        <f t="shared" si="26"/>
        <v>70</v>
      </c>
      <c r="W63" s="40" t="str">
        <f t="shared" si="8"/>
        <v>B+</v>
      </c>
      <c r="X63" s="39">
        <f t="shared" si="27"/>
        <v>80</v>
      </c>
      <c r="Y63" s="40" t="str">
        <f t="shared" si="9"/>
        <v>A</v>
      </c>
      <c r="Z63" s="39">
        <f t="shared" si="28"/>
        <v>100</v>
      </c>
      <c r="AA63" s="40" t="str">
        <f t="shared" si="10"/>
        <v>A+</v>
      </c>
      <c r="AB63" s="39">
        <f t="shared" si="29"/>
        <v>100</v>
      </c>
      <c r="AC63" s="40" t="str">
        <f t="shared" si="11"/>
        <v>A+</v>
      </c>
      <c r="AD63" s="39">
        <f t="shared" si="12"/>
        <v>665</v>
      </c>
      <c r="AE63" s="41">
        <f t="shared" si="13"/>
        <v>83.125</v>
      </c>
      <c r="AF63" s="44" t="str">
        <f t="shared" si="31"/>
        <v>Very Good</v>
      </c>
      <c r="AG63" s="24"/>
    </row>
    <row r="64" spans="2:33" s="26" customFormat="1" ht="27.75" customHeight="1">
      <c r="B64" s="15">
        <v>57</v>
      </c>
      <c r="C64" s="16" t="s">
        <v>208</v>
      </c>
      <c r="D64" s="18" t="s">
        <v>209</v>
      </c>
      <c r="E64" s="13" t="s">
        <v>33</v>
      </c>
      <c r="F64" s="22">
        <v>19</v>
      </c>
      <c r="G64" s="22">
        <v>18</v>
      </c>
      <c r="H64" s="23">
        <v>6</v>
      </c>
      <c r="I64" s="22">
        <v>7</v>
      </c>
      <c r="J64" s="24">
        <v>8</v>
      </c>
      <c r="K64" s="24">
        <v>8</v>
      </c>
      <c r="L64" s="24">
        <v>8</v>
      </c>
      <c r="M64" s="24">
        <v>8</v>
      </c>
      <c r="N64" s="39">
        <f t="shared" si="2"/>
        <v>95</v>
      </c>
      <c r="O64" s="39" t="str">
        <f t="shared" si="32"/>
        <v>A+</v>
      </c>
      <c r="P64" s="39">
        <f t="shared" si="34"/>
        <v>90</v>
      </c>
      <c r="Q64" s="39" t="str">
        <f t="shared" si="33"/>
        <v>A+</v>
      </c>
      <c r="R64" s="39">
        <f t="shared" ref="R64:R97" si="35">H64*10</f>
        <v>60</v>
      </c>
      <c r="S64" s="40" t="str">
        <f t="shared" si="6"/>
        <v>B-</v>
      </c>
      <c r="T64" s="39">
        <f t="shared" si="25"/>
        <v>70</v>
      </c>
      <c r="U64" s="40" t="str">
        <f t="shared" si="7"/>
        <v>B+</v>
      </c>
      <c r="V64" s="39">
        <f t="shared" si="26"/>
        <v>80</v>
      </c>
      <c r="W64" s="40" t="str">
        <f t="shared" si="8"/>
        <v>A</v>
      </c>
      <c r="X64" s="39">
        <f t="shared" si="27"/>
        <v>80</v>
      </c>
      <c r="Y64" s="40" t="str">
        <f t="shared" si="9"/>
        <v>A</v>
      </c>
      <c r="Z64" s="39">
        <f t="shared" si="28"/>
        <v>80</v>
      </c>
      <c r="AA64" s="40" t="str">
        <f t="shared" si="10"/>
        <v>A</v>
      </c>
      <c r="AB64" s="39">
        <f t="shared" si="29"/>
        <v>80</v>
      </c>
      <c r="AC64" s="40" t="str">
        <f t="shared" si="11"/>
        <v>A</v>
      </c>
      <c r="AD64" s="39">
        <f t="shared" si="12"/>
        <v>635</v>
      </c>
      <c r="AE64" s="41">
        <f t="shared" si="13"/>
        <v>79.375</v>
      </c>
      <c r="AF64" s="44" t="str">
        <f t="shared" si="31"/>
        <v>Very Good</v>
      </c>
      <c r="AG64" s="24"/>
    </row>
    <row r="65" spans="2:33" s="26" customFormat="1" ht="27.75" customHeight="1">
      <c r="B65" s="15">
        <v>58</v>
      </c>
      <c r="C65" s="16" t="s">
        <v>210</v>
      </c>
      <c r="D65" s="20" t="s">
        <v>211</v>
      </c>
      <c r="E65" s="13" t="s">
        <v>28</v>
      </c>
      <c r="F65" s="22">
        <v>20</v>
      </c>
      <c r="G65" s="22">
        <v>19</v>
      </c>
      <c r="H65" s="23">
        <v>5</v>
      </c>
      <c r="I65" s="22">
        <v>8</v>
      </c>
      <c r="J65" s="24">
        <v>8</v>
      </c>
      <c r="K65" s="24">
        <v>7</v>
      </c>
      <c r="L65" s="24">
        <v>9</v>
      </c>
      <c r="M65" s="24">
        <v>9</v>
      </c>
      <c r="N65" s="39">
        <f t="shared" si="2"/>
        <v>100</v>
      </c>
      <c r="O65" s="39" t="str">
        <f t="shared" si="32"/>
        <v>A+</v>
      </c>
      <c r="P65" s="39">
        <f t="shared" si="34"/>
        <v>95</v>
      </c>
      <c r="Q65" s="39" t="str">
        <f t="shared" si="33"/>
        <v>A+</v>
      </c>
      <c r="R65" s="39">
        <f t="shared" si="35"/>
        <v>50</v>
      </c>
      <c r="S65" s="40" t="str">
        <f t="shared" si="6"/>
        <v>C</v>
      </c>
      <c r="T65" s="39">
        <f t="shared" si="25"/>
        <v>80</v>
      </c>
      <c r="U65" s="40" t="str">
        <f t="shared" si="7"/>
        <v>A</v>
      </c>
      <c r="V65" s="39">
        <f t="shared" si="26"/>
        <v>80</v>
      </c>
      <c r="W65" s="40" t="str">
        <f t="shared" si="8"/>
        <v>A</v>
      </c>
      <c r="X65" s="39">
        <f t="shared" si="27"/>
        <v>70</v>
      </c>
      <c r="Y65" s="40" t="str">
        <f t="shared" si="9"/>
        <v>B+</v>
      </c>
      <c r="Z65" s="39">
        <f t="shared" si="28"/>
        <v>90</v>
      </c>
      <c r="AA65" s="40" t="str">
        <f t="shared" si="10"/>
        <v>A+</v>
      </c>
      <c r="AB65" s="39">
        <f t="shared" si="29"/>
        <v>90</v>
      </c>
      <c r="AC65" s="40" t="str">
        <f t="shared" si="11"/>
        <v>A+</v>
      </c>
      <c r="AD65" s="39">
        <f t="shared" si="12"/>
        <v>655</v>
      </c>
      <c r="AE65" s="41">
        <f t="shared" si="13"/>
        <v>81.875</v>
      </c>
      <c r="AF65" s="44" t="str">
        <f t="shared" si="31"/>
        <v>Very Good</v>
      </c>
      <c r="AG65" s="24"/>
    </row>
    <row r="66" spans="2:33" s="26" customFormat="1" ht="34.5" customHeight="1">
      <c r="B66" s="15">
        <v>59</v>
      </c>
      <c r="C66" s="16" t="s">
        <v>212</v>
      </c>
      <c r="D66" s="18">
        <v>198971201956</v>
      </c>
      <c r="E66" s="14" t="s">
        <v>22</v>
      </c>
      <c r="F66" s="27">
        <v>16</v>
      </c>
      <c r="G66" s="27">
        <v>14</v>
      </c>
      <c r="H66" s="27">
        <v>4</v>
      </c>
      <c r="I66" s="27">
        <v>5</v>
      </c>
      <c r="J66" s="29">
        <v>5</v>
      </c>
      <c r="K66" s="29">
        <v>4</v>
      </c>
      <c r="L66" s="29">
        <v>5</v>
      </c>
      <c r="M66" s="29">
        <v>4</v>
      </c>
      <c r="N66" s="39">
        <f t="shared" si="2"/>
        <v>80</v>
      </c>
      <c r="O66" s="39" t="str">
        <f t="shared" si="32"/>
        <v>A</v>
      </c>
      <c r="P66" s="39">
        <f t="shared" si="34"/>
        <v>70</v>
      </c>
      <c r="Q66" s="39" t="str">
        <f t="shared" si="33"/>
        <v>B+</v>
      </c>
      <c r="R66" s="39">
        <f t="shared" si="35"/>
        <v>40</v>
      </c>
      <c r="S66" s="40" t="str">
        <f t="shared" si="6"/>
        <v>D+</v>
      </c>
      <c r="T66" s="39">
        <f t="shared" si="25"/>
        <v>50</v>
      </c>
      <c r="U66" s="40" t="str">
        <f t="shared" si="7"/>
        <v>C</v>
      </c>
      <c r="V66" s="39">
        <f t="shared" si="26"/>
        <v>50</v>
      </c>
      <c r="W66" s="40" t="str">
        <f t="shared" si="8"/>
        <v>C</v>
      </c>
      <c r="X66" s="39">
        <f t="shared" si="27"/>
        <v>40</v>
      </c>
      <c r="Y66" s="40" t="str">
        <f t="shared" si="9"/>
        <v>D+</v>
      </c>
      <c r="Z66" s="39">
        <f t="shared" si="28"/>
        <v>50</v>
      </c>
      <c r="AA66" s="40" t="str">
        <f t="shared" si="10"/>
        <v>C</v>
      </c>
      <c r="AB66" s="39">
        <f t="shared" si="29"/>
        <v>40</v>
      </c>
      <c r="AC66" s="40" t="str">
        <f t="shared" si="11"/>
        <v>D+</v>
      </c>
      <c r="AD66" s="39">
        <f t="shared" si="12"/>
        <v>420</v>
      </c>
      <c r="AE66" s="41">
        <f t="shared" si="13"/>
        <v>52.5</v>
      </c>
      <c r="AF66" s="44" t="str">
        <f t="shared" si="31"/>
        <v>Ordinary Pass</v>
      </c>
      <c r="AG66" s="24"/>
    </row>
    <row r="67" spans="2:33" s="26" customFormat="1" ht="27.75" customHeight="1">
      <c r="B67" s="15">
        <v>60</v>
      </c>
      <c r="C67" s="38" t="s">
        <v>213</v>
      </c>
      <c r="D67" s="18" t="s">
        <v>214</v>
      </c>
      <c r="E67" s="13" t="s">
        <v>45</v>
      </c>
      <c r="F67" s="22">
        <v>18</v>
      </c>
      <c r="G67" s="22">
        <v>18</v>
      </c>
      <c r="H67" s="23">
        <v>7</v>
      </c>
      <c r="I67" s="22">
        <v>6</v>
      </c>
      <c r="J67" s="24">
        <v>6</v>
      </c>
      <c r="K67" s="24">
        <v>6</v>
      </c>
      <c r="L67" s="24">
        <v>6</v>
      </c>
      <c r="M67" s="24">
        <v>4</v>
      </c>
      <c r="N67" s="39">
        <f t="shared" si="2"/>
        <v>90</v>
      </c>
      <c r="O67" s="39" t="str">
        <f t="shared" si="32"/>
        <v>A+</v>
      </c>
      <c r="P67" s="39">
        <f t="shared" si="34"/>
        <v>90</v>
      </c>
      <c r="Q67" s="39" t="str">
        <f t="shared" si="33"/>
        <v>A+</v>
      </c>
      <c r="R67" s="39">
        <f t="shared" si="35"/>
        <v>70</v>
      </c>
      <c r="S67" s="40" t="str">
        <f t="shared" si="6"/>
        <v>B+</v>
      </c>
      <c r="T67" s="39">
        <f t="shared" si="25"/>
        <v>60</v>
      </c>
      <c r="U67" s="40" t="str">
        <f t="shared" si="7"/>
        <v>B-</v>
      </c>
      <c r="V67" s="39">
        <f t="shared" si="26"/>
        <v>60</v>
      </c>
      <c r="W67" s="40" t="str">
        <f t="shared" si="8"/>
        <v>B-</v>
      </c>
      <c r="X67" s="39">
        <f t="shared" si="27"/>
        <v>60</v>
      </c>
      <c r="Y67" s="40" t="str">
        <f t="shared" si="9"/>
        <v>B-</v>
      </c>
      <c r="Z67" s="39">
        <f t="shared" si="28"/>
        <v>60</v>
      </c>
      <c r="AA67" s="40" t="str">
        <f t="shared" si="10"/>
        <v>B-</v>
      </c>
      <c r="AB67" s="39">
        <f t="shared" si="29"/>
        <v>40</v>
      </c>
      <c r="AC67" s="40" t="str">
        <f t="shared" si="11"/>
        <v>D+</v>
      </c>
      <c r="AD67" s="39">
        <f t="shared" si="12"/>
        <v>530</v>
      </c>
      <c r="AE67" s="41">
        <f t="shared" si="13"/>
        <v>66.25</v>
      </c>
      <c r="AF67" s="44" t="str">
        <f t="shared" si="31"/>
        <v>Credit Pass</v>
      </c>
      <c r="AG67" s="24"/>
    </row>
    <row r="68" spans="2:33" s="26" customFormat="1" ht="27.75" customHeight="1">
      <c r="B68" s="15">
        <v>61</v>
      </c>
      <c r="C68" s="25" t="s">
        <v>215</v>
      </c>
      <c r="D68" s="19" t="s">
        <v>216</v>
      </c>
      <c r="E68" s="13" t="s">
        <v>95</v>
      </c>
      <c r="F68" s="22"/>
      <c r="G68" s="22"/>
      <c r="H68" s="23"/>
      <c r="I68" s="22"/>
      <c r="J68" s="24"/>
      <c r="K68" s="24"/>
      <c r="L68" s="24"/>
      <c r="M68" s="24"/>
      <c r="N68" s="39" t="s">
        <v>267</v>
      </c>
      <c r="O68" s="39" t="s">
        <v>267</v>
      </c>
      <c r="P68" s="39" t="s">
        <v>267</v>
      </c>
      <c r="Q68" s="39" t="s">
        <v>267</v>
      </c>
      <c r="R68" s="39" t="s">
        <v>267</v>
      </c>
      <c r="S68" s="39" t="s">
        <v>267</v>
      </c>
      <c r="T68" s="39" t="s">
        <v>267</v>
      </c>
      <c r="U68" s="39" t="s">
        <v>267</v>
      </c>
      <c r="V68" s="39" t="s">
        <v>267</v>
      </c>
      <c r="W68" s="39" t="s">
        <v>267</v>
      </c>
      <c r="X68" s="39" t="s">
        <v>267</v>
      </c>
      <c r="Y68" s="39" t="s">
        <v>267</v>
      </c>
      <c r="Z68" s="39" t="s">
        <v>267</v>
      </c>
      <c r="AA68" s="39" t="s">
        <v>267</v>
      </c>
      <c r="AB68" s="39" t="s">
        <v>267</v>
      </c>
      <c r="AC68" s="39" t="s">
        <v>267</v>
      </c>
      <c r="AD68" s="39" t="s">
        <v>267</v>
      </c>
      <c r="AE68" s="39" t="s">
        <v>267</v>
      </c>
      <c r="AF68" s="45" t="s">
        <v>267</v>
      </c>
      <c r="AG68" s="24"/>
    </row>
    <row r="69" spans="2:33" s="26" customFormat="1" ht="27.75" customHeight="1">
      <c r="B69" s="15">
        <v>62</v>
      </c>
      <c r="C69" s="16" t="s">
        <v>96</v>
      </c>
      <c r="D69" s="19">
        <v>198964901113</v>
      </c>
      <c r="E69" s="13" t="s">
        <v>97</v>
      </c>
      <c r="F69" s="22"/>
      <c r="G69" s="22"/>
      <c r="H69" s="23"/>
      <c r="I69" s="22"/>
      <c r="J69" s="24"/>
      <c r="K69" s="24"/>
      <c r="L69" s="24"/>
      <c r="M69" s="24"/>
      <c r="N69" s="39" t="s">
        <v>267</v>
      </c>
      <c r="O69" s="39" t="s">
        <v>267</v>
      </c>
      <c r="P69" s="39" t="s">
        <v>267</v>
      </c>
      <c r="Q69" s="39" t="s">
        <v>267</v>
      </c>
      <c r="R69" s="39" t="s">
        <v>267</v>
      </c>
      <c r="S69" s="39" t="s">
        <v>267</v>
      </c>
      <c r="T69" s="39" t="s">
        <v>267</v>
      </c>
      <c r="U69" s="39" t="s">
        <v>267</v>
      </c>
      <c r="V69" s="39" t="s">
        <v>267</v>
      </c>
      <c r="W69" s="39" t="s">
        <v>267</v>
      </c>
      <c r="X69" s="39" t="s">
        <v>267</v>
      </c>
      <c r="Y69" s="39" t="s">
        <v>267</v>
      </c>
      <c r="Z69" s="39" t="s">
        <v>267</v>
      </c>
      <c r="AA69" s="39" t="s">
        <v>267</v>
      </c>
      <c r="AB69" s="39" t="s">
        <v>267</v>
      </c>
      <c r="AC69" s="39" t="s">
        <v>267</v>
      </c>
      <c r="AD69" s="39" t="s">
        <v>267</v>
      </c>
      <c r="AE69" s="39" t="s">
        <v>267</v>
      </c>
      <c r="AF69" s="45" t="s">
        <v>267</v>
      </c>
      <c r="AG69" s="24"/>
    </row>
    <row r="70" spans="2:33" s="26" customFormat="1" ht="27.75" customHeight="1">
      <c r="B70" s="15">
        <v>63</v>
      </c>
      <c r="C70" s="16" t="s">
        <v>217</v>
      </c>
      <c r="D70" s="18">
        <v>198602103117</v>
      </c>
      <c r="E70" s="13" t="s">
        <v>27</v>
      </c>
      <c r="F70" s="22">
        <v>19</v>
      </c>
      <c r="G70" s="22">
        <v>14</v>
      </c>
      <c r="H70" s="23">
        <v>6</v>
      </c>
      <c r="I70" s="22">
        <v>7</v>
      </c>
      <c r="J70" s="24">
        <v>8</v>
      </c>
      <c r="K70" s="24">
        <v>8</v>
      </c>
      <c r="L70" s="24">
        <v>9</v>
      </c>
      <c r="M70" s="24">
        <v>8</v>
      </c>
      <c r="N70" s="39">
        <f t="shared" si="2"/>
        <v>95</v>
      </c>
      <c r="O70" s="39" t="str">
        <f t="shared" ref="O70:O87" si="36">IF(N70="-", "Absent", IF(N70&gt;=85, "A+", IF(N70&gt;=80, "A", IF(N70&gt;=75, "A-", IF(N70&gt;=70, "B+",IF(N70&gt;=65, "B", IF(N70&gt;=60, "B-", IF(N70&gt;=55, "C+", IF(N70&gt;=50, "C", IF(N70&gt;=45, "C-", IF(N70&gt;=39, "D+", IF(N70&gt;=35, "D", IF(N70&gt;=0, "F" )))))))))))))</f>
        <v>A+</v>
      </c>
      <c r="P70" s="39">
        <f t="shared" ref="P70:P77" si="37">G70*5</f>
        <v>70</v>
      </c>
      <c r="Q70" s="39" t="str">
        <f t="shared" ref="Q70:Q87" si="38">IF(P70="-", "Absent", IF(P70&gt;=85, "A+", IF(P70&gt;=80, "A", IF(P70&gt;=75, "A-", IF(P70&gt;=70, "B+",IF(P70&gt;=65, "B", IF(P70&gt;=60, "B-", IF(P70&gt;=55, "C+", IF(P70&gt;=50, "C", IF(P70&gt;=45, "C-", IF(P70&gt;=39, "D+", IF(P70&gt;=35, "D", IF(P70&gt;=0, "F" )))))))))))))</f>
        <v>B+</v>
      </c>
      <c r="R70" s="39">
        <f t="shared" si="35"/>
        <v>60</v>
      </c>
      <c r="S70" s="40" t="str">
        <f t="shared" si="6"/>
        <v>B-</v>
      </c>
      <c r="T70" s="39">
        <f t="shared" si="25"/>
        <v>70</v>
      </c>
      <c r="U70" s="40" t="str">
        <f t="shared" si="7"/>
        <v>B+</v>
      </c>
      <c r="V70" s="39">
        <f t="shared" si="26"/>
        <v>80</v>
      </c>
      <c r="W70" s="40" t="str">
        <f t="shared" si="8"/>
        <v>A</v>
      </c>
      <c r="X70" s="39">
        <f t="shared" si="27"/>
        <v>80</v>
      </c>
      <c r="Y70" s="40" t="str">
        <f t="shared" si="9"/>
        <v>A</v>
      </c>
      <c r="Z70" s="39">
        <f t="shared" si="28"/>
        <v>90</v>
      </c>
      <c r="AA70" s="40" t="str">
        <f t="shared" si="10"/>
        <v>A+</v>
      </c>
      <c r="AB70" s="39">
        <f t="shared" si="29"/>
        <v>80</v>
      </c>
      <c r="AC70" s="40" t="str">
        <f t="shared" si="11"/>
        <v>A</v>
      </c>
      <c r="AD70" s="39">
        <f t="shared" si="12"/>
        <v>625</v>
      </c>
      <c r="AE70" s="41">
        <f t="shared" si="13"/>
        <v>78.125</v>
      </c>
      <c r="AF70" s="44" t="str">
        <f t="shared" ref="AF70:AF87" si="39">IF(AE70="-", "Absent", IF(AE70&gt;=85, "Excellent Pass", IF(AE70&gt;=70, "Very Good", IF(AE70&gt;=55, "Credit Pass", IF(AE70&gt;=40, "Ordinary Pass",IF(AE70&gt;=39, "Fail"))))))</f>
        <v>Very Good</v>
      </c>
      <c r="AG70" s="24"/>
    </row>
    <row r="71" spans="2:33" s="26" customFormat="1" ht="27.75" customHeight="1">
      <c r="B71" s="15">
        <v>64</v>
      </c>
      <c r="C71" s="16" t="s">
        <v>218</v>
      </c>
      <c r="D71" s="18">
        <v>197851603265</v>
      </c>
      <c r="E71" s="13" t="s">
        <v>73</v>
      </c>
      <c r="F71" s="22">
        <v>15</v>
      </c>
      <c r="G71" s="22">
        <v>15</v>
      </c>
      <c r="H71" s="23">
        <v>7</v>
      </c>
      <c r="I71" s="22">
        <v>8</v>
      </c>
      <c r="J71" s="24">
        <v>6</v>
      </c>
      <c r="K71" s="24">
        <v>8</v>
      </c>
      <c r="L71" s="24">
        <v>8</v>
      </c>
      <c r="M71" s="24">
        <v>9</v>
      </c>
      <c r="N71" s="39">
        <f t="shared" si="2"/>
        <v>75</v>
      </c>
      <c r="O71" s="39" t="str">
        <f t="shared" si="36"/>
        <v>A-</v>
      </c>
      <c r="P71" s="39">
        <f t="shared" si="37"/>
        <v>75</v>
      </c>
      <c r="Q71" s="39" t="str">
        <f t="shared" si="38"/>
        <v>A-</v>
      </c>
      <c r="R71" s="39">
        <f t="shared" si="35"/>
        <v>70</v>
      </c>
      <c r="S71" s="40" t="str">
        <f t="shared" si="6"/>
        <v>B+</v>
      </c>
      <c r="T71" s="39">
        <f t="shared" si="25"/>
        <v>80</v>
      </c>
      <c r="U71" s="40" t="str">
        <f t="shared" si="7"/>
        <v>A</v>
      </c>
      <c r="V71" s="39">
        <f t="shared" si="26"/>
        <v>60</v>
      </c>
      <c r="W71" s="40" t="str">
        <f t="shared" si="8"/>
        <v>B-</v>
      </c>
      <c r="X71" s="39">
        <f t="shared" si="27"/>
        <v>80</v>
      </c>
      <c r="Y71" s="40" t="str">
        <f t="shared" si="9"/>
        <v>A</v>
      </c>
      <c r="Z71" s="39">
        <f t="shared" si="28"/>
        <v>80</v>
      </c>
      <c r="AA71" s="40" t="str">
        <f t="shared" si="10"/>
        <v>A</v>
      </c>
      <c r="AB71" s="39">
        <f t="shared" si="29"/>
        <v>90</v>
      </c>
      <c r="AC71" s="40" t="str">
        <f t="shared" si="11"/>
        <v>A+</v>
      </c>
      <c r="AD71" s="39">
        <f t="shared" si="12"/>
        <v>610</v>
      </c>
      <c r="AE71" s="41">
        <f t="shared" si="13"/>
        <v>76.25</v>
      </c>
      <c r="AF71" s="44" t="str">
        <f t="shared" si="39"/>
        <v>Very Good</v>
      </c>
      <c r="AG71" s="24"/>
    </row>
    <row r="72" spans="2:33" s="26" customFormat="1" ht="27.75" customHeight="1">
      <c r="B72" s="15">
        <v>65</v>
      </c>
      <c r="C72" s="16" t="s">
        <v>219</v>
      </c>
      <c r="D72" s="18" t="s">
        <v>220</v>
      </c>
      <c r="E72" s="14" t="s">
        <v>31</v>
      </c>
      <c r="F72" s="22">
        <v>12</v>
      </c>
      <c r="G72" s="22">
        <v>10</v>
      </c>
      <c r="H72" s="23">
        <v>5</v>
      </c>
      <c r="I72" s="22">
        <v>6</v>
      </c>
      <c r="J72" s="24">
        <v>6</v>
      </c>
      <c r="K72" s="24">
        <v>7</v>
      </c>
      <c r="L72" s="24">
        <v>8</v>
      </c>
      <c r="M72" s="24">
        <v>8</v>
      </c>
      <c r="N72" s="39">
        <f t="shared" si="2"/>
        <v>60</v>
      </c>
      <c r="O72" s="39" t="str">
        <f t="shared" si="36"/>
        <v>B-</v>
      </c>
      <c r="P72" s="39">
        <f t="shared" si="37"/>
        <v>50</v>
      </c>
      <c r="Q72" s="39" t="str">
        <f t="shared" si="38"/>
        <v>C</v>
      </c>
      <c r="R72" s="39">
        <f t="shared" si="35"/>
        <v>50</v>
      </c>
      <c r="S72" s="40" t="str">
        <f t="shared" si="6"/>
        <v>C</v>
      </c>
      <c r="T72" s="39">
        <f t="shared" si="25"/>
        <v>60</v>
      </c>
      <c r="U72" s="40" t="str">
        <f t="shared" si="7"/>
        <v>B-</v>
      </c>
      <c r="V72" s="39">
        <f t="shared" si="26"/>
        <v>60</v>
      </c>
      <c r="W72" s="40" t="str">
        <f t="shared" si="8"/>
        <v>B-</v>
      </c>
      <c r="X72" s="39">
        <f t="shared" si="27"/>
        <v>70</v>
      </c>
      <c r="Y72" s="40" t="str">
        <f t="shared" si="9"/>
        <v>B+</v>
      </c>
      <c r="Z72" s="39">
        <f t="shared" si="28"/>
        <v>80</v>
      </c>
      <c r="AA72" s="40" t="str">
        <f t="shared" si="10"/>
        <v>A</v>
      </c>
      <c r="AB72" s="39">
        <f t="shared" si="29"/>
        <v>80</v>
      </c>
      <c r="AC72" s="40" t="str">
        <f t="shared" si="11"/>
        <v>A</v>
      </c>
      <c r="AD72" s="39">
        <f t="shared" si="12"/>
        <v>510</v>
      </c>
      <c r="AE72" s="41">
        <f t="shared" si="13"/>
        <v>63.75</v>
      </c>
      <c r="AF72" s="44" t="str">
        <f t="shared" si="39"/>
        <v>Credit Pass</v>
      </c>
      <c r="AG72" s="24"/>
    </row>
    <row r="73" spans="2:33" s="26" customFormat="1" ht="27.75" customHeight="1">
      <c r="B73" s="15">
        <v>66</v>
      </c>
      <c r="C73" s="16" t="s">
        <v>221</v>
      </c>
      <c r="D73" s="18" t="s">
        <v>222</v>
      </c>
      <c r="E73" s="13" t="s">
        <v>56</v>
      </c>
      <c r="F73" s="22">
        <v>16</v>
      </c>
      <c r="G73" s="22">
        <v>17</v>
      </c>
      <c r="H73" s="23">
        <v>9</v>
      </c>
      <c r="I73" s="22">
        <v>9</v>
      </c>
      <c r="J73" s="24">
        <v>9</v>
      </c>
      <c r="K73" s="24">
        <v>10</v>
      </c>
      <c r="L73" s="24">
        <v>10</v>
      </c>
      <c r="M73" s="24">
        <v>10</v>
      </c>
      <c r="N73" s="39">
        <f t="shared" si="2"/>
        <v>80</v>
      </c>
      <c r="O73" s="39" t="str">
        <f t="shared" si="36"/>
        <v>A</v>
      </c>
      <c r="P73" s="39">
        <f t="shared" si="37"/>
        <v>85</v>
      </c>
      <c r="Q73" s="39" t="str">
        <f t="shared" si="38"/>
        <v>A+</v>
      </c>
      <c r="R73" s="39">
        <f t="shared" si="35"/>
        <v>90</v>
      </c>
      <c r="S73" s="40" t="str">
        <f t="shared" si="6"/>
        <v>A+</v>
      </c>
      <c r="T73" s="39">
        <f t="shared" si="25"/>
        <v>90</v>
      </c>
      <c r="U73" s="40" t="str">
        <f t="shared" si="7"/>
        <v>A+</v>
      </c>
      <c r="V73" s="39">
        <f t="shared" si="26"/>
        <v>90</v>
      </c>
      <c r="W73" s="40" t="str">
        <f t="shared" si="8"/>
        <v>A+</v>
      </c>
      <c r="X73" s="39">
        <f t="shared" si="27"/>
        <v>100</v>
      </c>
      <c r="Y73" s="40" t="str">
        <f t="shared" si="9"/>
        <v>A+</v>
      </c>
      <c r="Z73" s="39">
        <f t="shared" si="28"/>
        <v>100</v>
      </c>
      <c r="AA73" s="40" t="str">
        <f t="shared" si="10"/>
        <v>A+</v>
      </c>
      <c r="AB73" s="39">
        <f t="shared" si="29"/>
        <v>100</v>
      </c>
      <c r="AC73" s="40" t="str">
        <f t="shared" si="11"/>
        <v>A+</v>
      </c>
      <c r="AD73" s="39">
        <f t="shared" si="12"/>
        <v>735</v>
      </c>
      <c r="AE73" s="41">
        <f t="shared" si="13"/>
        <v>91.875</v>
      </c>
      <c r="AF73" s="44" t="str">
        <f t="shared" si="39"/>
        <v>Excellent Pass</v>
      </c>
      <c r="AG73" s="24"/>
    </row>
    <row r="74" spans="2:33" s="26" customFormat="1" ht="27.75" customHeight="1">
      <c r="B74" s="15">
        <v>67</v>
      </c>
      <c r="C74" s="21" t="s">
        <v>223</v>
      </c>
      <c r="D74" s="18">
        <v>199177904081</v>
      </c>
      <c r="E74" s="13" t="s">
        <v>6</v>
      </c>
      <c r="F74" s="22">
        <v>13</v>
      </c>
      <c r="G74" s="22">
        <v>14</v>
      </c>
      <c r="H74" s="23">
        <v>7</v>
      </c>
      <c r="I74" s="22">
        <v>9</v>
      </c>
      <c r="J74" s="24">
        <v>8</v>
      </c>
      <c r="K74" s="24">
        <v>8</v>
      </c>
      <c r="L74" s="24">
        <v>9</v>
      </c>
      <c r="M74" s="24">
        <v>9</v>
      </c>
      <c r="N74" s="39">
        <f t="shared" si="2"/>
        <v>65</v>
      </c>
      <c r="O74" s="39" t="str">
        <f t="shared" si="36"/>
        <v>B</v>
      </c>
      <c r="P74" s="39">
        <f t="shared" si="37"/>
        <v>70</v>
      </c>
      <c r="Q74" s="39" t="str">
        <f t="shared" si="38"/>
        <v>B+</v>
      </c>
      <c r="R74" s="39">
        <f t="shared" si="35"/>
        <v>70</v>
      </c>
      <c r="S74" s="40" t="str">
        <f t="shared" si="6"/>
        <v>B+</v>
      </c>
      <c r="T74" s="39">
        <f t="shared" si="25"/>
        <v>90</v>
      </c>
      <c r="U74" s="40" t="str">
        <f t="shared" si="7"/>
        <v>A+</v>
      </c>
      <c r="V74" s="39">
        <f t="shared" ref="V74:V97" si="40">J74*10</f>
        <v>80</v>
      </c>
      <c r="W74" s="40" t="str">
        <f t="shared" si="8"/>
        <v>A</v>
      </c>
      <c r="X74" s="39">
        <f t="shared" ref="X74:X97" si="41">K74*10</f>
        <v>80</v>
      </c>
      <c r="Y74" s="40" t="str">
        <f t="shared" si="9"/>
        <v>A</v>
      </c>
      <c r="Z74" s="39">
        <f t="shared" ref="Z74:Z97" si="42">L74*10</f>
        <v>90</v>
      </c>
      <c r="AA74" s="40" t="str">
        <f t="shared" si="10"/>
        <v>A+</v>
      </c>
      <c r="AB74" s="39">
        <f t="shared" ref="AB74:AB97" si="43">M74*10</f>
        <v>90</v>
      </c>
      <c r="AC74" s="40" t="str">
        <f t="shared" si="11"/>
        <v>A+</v>
      </c>
      <c r="AD74" s="39">
        <f t="shared" si="12"/>
        <v>635</v>
      </c>
      <c r="AE74" s="41">
        <f t="shared" si="13"/>
        <v>79.375</v>
      </c>
      <c r="AF74" s="44" t="str">
        <f t="shared" si="39"/>
        <v>Very Good</v>
      </c>
      <c r="AG74" s="24"/>
    </row>
    <row r="75" spans="2:33" s="26" customFormat="1" ht="27.75" customHeight="1">
      <c r="B75" s="15">
        <v>68</v>
      </c>
      <c r="C75" s="16" t="s">
        <v>224</v>
      </c>
      <c r="D75" s="18" t="s">
        <v>225</v>
      </c>
      <c r="E75" s="13" t="s">
        <v>40</v>
      </c>
      <c r="F75" s="22">
        <v>17</v>
      </c>
      <c r="G75" s="22">
        <v>18</v>
      </c>
      <c r="H75" s="23">
        <v>7</v>
      </c>
      <c r="I75" s="22">
        <v>5</v>
      </c>
      <c r="J75" s="24">
        <v>6</v>
      </c>
      <c r="K75" s="24">
        <v>7</v>
      </c>
      <c r="L75" s="24">
        <v>8</v>
      </c>
      <c r="M75" s="24">
        <v>8</v>
      </c>
      <c r="N75" s="39">
        <f t="shared" si="2"/>
        <v>85</v>
      </c>
      <c r="O75" s="39" t="str">
        <f t="shared" si="36"/>
        <v>A+</v>
      </c>
      <c r="P75" s="39">
        <f t="shared" si="37"/>
        <v>90</v>
      </c>
      <c r="Q75" s="39" t="str">
        <f t="shared" si="38"/>
        <v>A+</v>
      </c>
      <c r="R75" s="39">
        <f t="shared" si="35"/>
        <v>70</v>
      </c>
      <c r="S75" s="40" t="str">
        <f t="shared" si="6"/>
        <v>B+</v>
      </c>
      <c r="T75" s="39">
        <f t="shared" si="25"/>
        <v>50</v>
      </c>
      <c r="U75" s="40" t="str">
        <f t="shared" si="7"/>
        <v>C</v>
      </c>
      <c r="V75" s="39">
        <f t="shared" si="40"/>
        <v>60</v>
      </c>
      <c r="W75" s="40" t="str">
        <f t="shared" si="8"/>
        <v>B-</v>
      </c>
      <c r="X75" s="39">
        <f t="shared" si="41"/>
        <v>70</v>
      </c>
      <c r="Y75" s="40" t="str">
        <f t="shared" si="9"/>
        <v>B+</v>
      </c>
      <c r="Z75" s="39">
        <f t="shared" si="42"/>
        <v>80</v>
      </c>
      <c r="AA75" s="40" t="str">
        <f t="shared" si="10"/>
        <v>A</v>
      </c>
      <c r="AB75" s="39">
        <f t="shared" si="43"/>
        <v>80</v>
      </c>
      <c r="AC75" s="40" t="str">
        <f t="shared" si="11"/>
        <v>A</v>
      </c>
      <c r="AD75" s="39">
        <f t="shared" si="12"/>
        <v>585</v>
      </c>
      <c r="AE75" s="41">
        <f t="shared" si="13"/>
        <v>73.125</v>
      </c>
      <c r="AF75" s="44" t="str">
        <f t="shared" si="39"/>
        <v>Very Good</v>
      </c>
      <c r="AG75" s="24"/>
    </row>
    <row r="76" spans="2:33" s="26" customFormat="1" ht="27.75" customHeight="1">
      <c r="B76" s="15">
        <v>69</v>
      </c>
      <c r="C76" s="16" t="s">
        <v>226</v>
      </c>
      <c r="D76" s="18" t="s">
        <v>227</v>
      </c>
      <c r="E76" s="13" t="s">
        <v>58</v>
      </c>
      <c r="F76" s="22">
        <v>17</v>
      </c>
      <c r="G76" s="22">
        <v>14</v>
      </c>
      <c r="H76" s="23">
        <v>6</v>
      </c>
      <c r="I76" s="22"/>
      <c r="J76" s="24">
        <v>7</v>
      </c>
      <c r="K76" s="24">
        <v>8</v>
      </c>
      <c r="L76" s="24">
        <v>9</v>
      </c>
      <c r="M76" s="24">
        <v>8</v>
      </c>
      <c r="N76" s="39">
        <f t="shared" si="2"/>
        <v>85</v>
      </c>
      <c r="O76" s="39" t="str">
        <f t="shared" si="36"/>
        <v>A+</v>
      </c>
      <c r="P76" s="39">
        <f t="shared" si="37"/>
        <v>70</v>
      </c>
      <c r="Q76" s="39" t="str">
        <f t="shared" si="38"/>
        <v>B+</v>
      </c>
      <c r="R76" s="39">
        <f t="shared" si="35"/>
        <v>60</v>
      </c>
      <c r="S76" s="40" t="str">
        <f t="shared" si="6"/>
        <v>B-</v>
      </c>
      <c r="T76" s="39">
        <v>35</v>
      </c>
      <c r="U76" s="40" t="str">
        <f t="shared" si="7"/>
        <v>D</v>
      </c>
      <c r="V76" s="39">
        <f t="shared" si="40"/>
        <v>70</v>
      </c>
      <c r="W76" s="40" t="str">
        <f t="shared" si="8"/>
        <v>B+</v>
      </c>
      <c r="X76" s="39">
        <f t="shared" si="41"/>
        <v>80</v>
      </c>
      <c r="Y76" s="40" t="str">
        <f t="shared" si="9"/>
        <v>A</v>
      </c>
      <c r="Z76" s="39">
        <f t="shared" si="42"/>
        <v>90</v>
      </c>
      <c r="AA76" s="40" t="str">
        <f t="shared" si="10"/>
        <v>A+</v>
      </c>
      <c r="AB76" s="39">
        <f t="shared" si="43"/>
        <v>80</v>
      </c>
      <c r="AC76" s="40" t="str">
        <f t="shared" si="11"/>
        <v>A</v>
      </c>
      <c r="AD76" s="39">
        <f t="shared" si="12"/>
        <v>570</v>
      </c>
      <c r="AE76" s="41">
        <f t="shared" si="13"/>
        <v>71.25</v>
      </c>
      <c r="AF76" s="44" t="str">
        <f t="shared" si="39"/>
        <v>Very Good</v>
      </c>
      <c r="AG76" s="24"/>
    </row>
    <row r="77" spans="2:33" s="26" customFormat="1" ht="27.75" customHeight="1">
      <c r="B77" s="15">
        <v>70</v>
      </c>
      <c r="C77" s="16" t="s">
        <v>228</v>
      </c>
      <c r="D77" s="18" t="s">
        <v>229</v>
      </c>
      <c r="E77" s="13" t="s">
        <v>17</v>
      </c>
      <c r="F77" s="22">
        <v>20</v>
      </c>
      <c r="G77" s="22">
        <v>18</v>
      </c>
      <c r="H77" s="23">
        <v>4</v>
      </c>
      <c r="I77" s="22">
        <v>6</v>
      </c>
      <c r="J77" s="24">
        <v>8</v>
      </c>
      <c r="K77" s="24">
        <v>7</v>
      </c>
      <c r="L77" s="24">
        <v>8</v>
      </c>
      <c r="M77" s="24">
        <v>9</v>
      </c>
      <c r="N77" s="39">
        <f t="shared" si="2"/>
        <v>100</v>
      </c>
      <c r="O77" s="39" t="str">
        <f t="shared" si="36"/>
        <v>A+</v>
      </c>
      <c r="P77" s="39">
        <f t="shared" si="37"/>
        <v>90</v>
      </c>
      <c r="Q77" s="39" t="str">
        <f t="shared" si="38"/>
        <v>A+</v>
      </c>
      <c r="R77" s="39">
        <f t="shared" si="35"/>
        <v>40</v>
      </c>
      <c r="S77" s="40" t="str">
        <f t="shared" si="6"/>
        <v>D+</v>
      </c>
      <c r="T77" s="39">
        <f t="shared" ref="T77:T97" si="44">I77*10</f>
        <v>60</v>
      </c>
      <c r="U77" s="40" t="str">
        <f t="shared" si="7"/>
        <v>B-</v>
      </c>
      <c r="V77" s="39">
        <f t="shared" si="40"/>
        <v>80</v>
      </c>
      <c r="W77" s="40" t="str">
        <f t="shared" si="8"/>
        <v>A</v>
      </c>
      <c r="X77" s="39">
        <f t="shared" si="41"/>
        <v>70</v>
      </c>
      <c r="Y77" s="40" t="str">
        <f t="shared" si="9"/>
        <v>B+</v>
      </c>
      <c r="Z77" s="39">
        <f t="shared" si="42"/>
        <v>80</v>
      </c>
      <c r="AA77" s="40" t="str">
        <f t="shared" si="10"/>
        <v>A</v>
      </c>
      <c r="AB77" s="39">
        <f t="shared" si="43"/>
        <v>90</v>
      </c>
      <c r="AC77" s="40" t="str">
        <f t="shared" si="11"/>
        <v>A+</v>
      </c>
      <c r="AD77" s="39">
        <f t="shared" si="12"/>
        <v>610</v>
      </c>
      <c r="AE77" s="41">
        <f t="shared" si="13"/>
        <v>76.25</v>
      </c>
      <c r="AF77" s="44" t="str">
        <f t="shared" si="39"/>
        <v>Very Good</v>
      </c>
      <c r="AG77" s="24"/>
    </row>
    <row r="78" spans="2:33" s="26" customFormat="1" ht="27.75" customHeight="1">
      <c r="B78" s="15">
        <v>71</v>
      </c>
      <c r="C78" s="25" t="s">
        <v>230</v>
      </c>
      <c r="D78" s="19" t="s">
        <v>231</v>
      </c>
      <c r="E78" s="14" t="s">
        <v>98</v>
      </c>
      <c r="F78" s="22"/>
      <c r="G78" s="22"/>
      <c r="H78" s="23"/>
      <c r="I78" s="22"/>
      <c r="J78" s="24"/>
      <c r="K78" s="24"/>
      <c r="L78" s="24"/>
      <c r="M78" s="24"/>
      <c r="N78" s="39" t="s">
        <v>267</v>
      </c>
      <c r="O78" s="39" t="s">
        <v>267</v>
      </c>
      <c r="P78" s="39" t="s">
        <v>267</v>
      </c>
      <c r="Q78" s="39" t="s">
        <v>267</v>
      </c>
      <c r="R78" s="39" t="s">
        <v>267</v>
      </c>
      <c r="S78" s="39" t="s">
        <v>267</v>
      </c>
      <c r="T78" s="39" t="s">
        <v>267</v>
      </c>
      <c r="U78" s="39" t="s">
        <v>267</v>
      </c>
      <c r="V78" s="39" t="s">
        <v>267</v>
      </c>
      <c r="W78" s="39" t="s">
        <v>267</v>
      </c>
      <c r="X78" s="39" t="s">
        <v>267</v>
      </c>
      <c r="Y78" s="39" t="s">
        <v>267</v>
      </c>
      <c r="Z78" s="39" t="s">
        <v>267</v>
      </c>
      <c r="AA78" s="39" t="s">
        <v>267</v>
      </c>
      <c r="AB78" s="39" t="s">
        <v>267</v>
      </c>
      <c r="AC78" s="39" t="s">
        <v>267</v>
      </c>
      <c r="AD78" s="39" t="s">
        <v>267</v>
      </c>
      <c r="AE78" s="39" t="s">
        <v>267</v>
      </c>
      <c r="AF78" s="44" t="s">
        <v>267</v>
      </c>
      <c r="AG78" s="24"/>
    </row>
    <row r="79" spans="2:33" s="26" customFormat="1" ht="27.75" customHeight="1">
      <c r="B79" s="15">
        <v>72</v>
      </c>
      <c r="C79" s="16" t="s">
        <v>232</v>
      </c>
      <c r="D79" s="18">
        <v>198153303845</v>
      </c>
      <c r="E79" s="13" t="s">
        <v>16</v>
      </c>
      <c r="F79" s="22">
        <v>20</v>
      </c>
      <c r="G79" s="22">
        <v>18</v>
      </c>
      <c r="H79" s="23">
        <v>7</v>
      </c>
      <c r="I79" s="22">
        <v>7</v>
      </c>
      <c r="J79" s="24">
        <v>9</v>
      </c>
      <c r="K79" s="24">
        <v>9</v>
      </c>
      <c r="L79" s="24">
        <v>10</v>
      </c>
      <c r="M79" s="24">
        <v>10</v>
      </c>
      <c r="N79" s="39">
        <f t="shared" si="2"/>
        <v>100</v>
      </c>
      <c r="O79" s="39" t="str">
        <f t="shared" si="36"/>
        <v>A+</v>
      </c>
      <c r="P79" s="39">
        <f>G79*5</f>
        <v>90</v>
      </c>
      <c r="Q79" s="39" t="str">
        <f t="shared" si="38"/>
        <v>A+</v>
      </c>
      <c r="R79" s="39">
        <f t="shared" si="35"/>
        <v>70</v>
      </c>
      <c r="S79" s="40" t="str">
        <f t="shared" si="6"/>
        <v>B+</v>
      </c>
      <c r="T79" s="39">
        <f t="shared" si="44"/>
        <v>70</v>
      </c>
      <c r="U79" s="40" t="str">
        <f t="shared" si="7"/>
        <v>B+</v>
      </c>
      <c r="V79" s="39">
        <f t="shared" si="40"/>
        <v>90</v>
      </c>
      <c r="W79" s="40" t="str">
        <f t="shared" si="8"/>
        <v>A+</v>
      </c>
      <c r="X79" s="39">
        <f t="shared" si="41"/>
        <v>90</v>
      </c>
      <c r="Y79" s="40" t="str">
        <f t="shared" si="9"/>
        <v>A+</v>
      </c>
      <c r="Z79" s="39">
        <f t="shared" si="42"/>
        <v>100</v>
      </c>
      <c r="AA79" s="40" t="str">
        <f t="shared" si="10"/>
        <v>A+</v>
      </c>
      <c r="AB79" s="39">
        <f t="shared" si="43"/>
        <v>100</v>
      </c>
      <c r="AC79" s="40" t="str">
        <f t="shared" si="11"/>
        <v>A+</v>
      </c>
      <c r="AD79" s="39">
        <f t="shared" si="12"/>
        <v>710</v>
      </c>
      <c r="AE79" s="41">
        <f t="shared" si="13"/>
        <v>88.75</v>
      </c>
      <c r="AF79" s="44" t="str">
        <f t="shared" si="39"/>
        <v>Excellent Pass</v>
      </c>
      <c r="AG79" s="24"/>
    </row>
    <row r="80" spans="2:33" s="26" customFormat="1" ht="27.75" customHeight="1">
      <c r="B80" s="15">
        <v>73</v>
      </c>
      <c r="C80" s="16" t="s">
        <v>233</v>
      </c>
      <c r="D80" s="18">
        <v>197856701511</v>
      </c>
      <c r="E80" s="13" t="s">
        <v>80</v>
      </c>
      <c r="F80" s="22">
        <v>15</v>
      </c>
      <c r="G80" s="22">
        <v>16</v>
      </c>
      <c r="H80" s="23">
        <v>7</v>
      </c>
      <c r="I80" s="22">
        <v>7</v>
      </c>
      <c r="J80" s="24">
        <v>8</v>
      </c>
      <c r="K80" s="24">
        <v>8</v>
      </c>
      <c r="L80" s="24">
        <v>8</v>
      </c>
      <c r="M80" s="24">
        <v>9</v>
      </c>
      <c r="N80" s="39">
        <f t="shared" si="2"/>
        <v>75</v>
      </c>
      <c r="O80" s="39" t="str">
        <f t="shared" si="36"/>
        <v>A-</v>
      </c>
      <c r="P80" s="39">
        <f>G80*5</f>
        <v>80</v>
      </c>
      <c r="Q80" s="39" t="str">
        <f t="shared" si="38"/>
        <v>A</v>
      </c>
      <c r="R80" s="39">
        <f t="shared" si="35"/>
        <v>70</v>
      </c>
      <c r="S80" s="40" t="str">
        <f t="shared" si="6"/>
        <v>B+</v>
      </c>
      <c r="T80" s="39">
        <f t="shared" si="44"/>
        <v>70</v>
      </c>
      <c r="U80" s="40" t="str">
        <f t="shared" si="7"/>
        <v>B+</v>
      </c>
      <c r="V80" s="39">
        <f t="shared" si="40"/>
        <v>80</v>
      </c>
      <c r="W80" s="40" t="str">
        <f t="shared" si="8"/>
        <v>A</v>
      </c>
      <c r="X80" s="39">
        <f t="shared" si="41"/>
        <v>80</v>
      </c>
      <c r="Y80" s="40" t="str">
        <f t="shared" si="9"/>
        <v>A</v>
      </c>
      <c r="Z80" s="39">
        <f t="shared" si="42"/>
        <v>80</v>
      </c>
      <c r="AA80" s="40" t="str">
        <f t="shared" si="10"/>
        <v>A</v>
      </c>
      <c r="AB80" s="39">
        <f t="shared" si="43"/>
        <v>90</v>
      </c>
      <c r="AC80" s="40" t="str">
        <f t="shared" si="11"/>
        <v>A+</v>
      </c>
      <c r="AD80" s="39">
        <f t="shared" si="12"/>
        <v>625</v>
      </c>
      <c r="AE80" s="41">
        <f t="shared" si="13"/>
        <v>78.125</v>
      </c>
      <c r="AF80" s="44" t="str">
        <f t="shared" si="39"/>
        <v>Very Good</v>
      </c>
      <c r="AG80" s="24"/>
    </row>
    <row r="81" spans="2:33" s="26" customFormat="1" ht="27.75" customHeight="1">
      <c r="B81" s="15">
        <v>74</v>
      </c>
      <c r="C81" s="16" t="s">
        <v>234</v>
      </c>
      <c r="D81" s="19">
        <v>197872801770</v>
      </c>
      <c r="E81" s="13" t="s">
        <v>61</v>
      </c>
      <c r="F81" s="31">
        <v>12</v>
      </c>
      <c r="G81" s="31">
        <v>10</v>
      </c>
      <c r="H81" s="32"/>
      <c r="I81" s="31"/>
      <c r="J81" s="33"/>
      <c r="K81" s="33"/>
      <c r="L81" s="33"/>
      <c r="M81" s="33"/>
      <c r="N81" s="39">
        <f t="shared" si="2"/>
        <v>60</v>
      </c>
      <c r="O81" s="39" t="str">
        <f t="shared" si="36"/>
        <v>B-</v>
      </c>
      <c r="P81" s="39">
        <f>G81*5</f>
        <v>50</v>
      </c>
      <c r="Q81" s="39" t="str">
        <f t="shared" si="38"/>
        <v>C</v>
      </c>
      <c r="R81" s="39" t="s">
        <v>81</v>
      </c>
      <c r="S81" s="39" t="s">
        <v>81</v>
      </c>
      <c r="T81" s="39" t="s">
        <v>81</v>
      </c>
      <c r="U81" s="39" t="s">
        <v>81</v>
      </c>
      <c r="V81" s="39" t="s">
        <v>81</v>
      </c>
      <c r="W81" s="39" t="s">
        <v>81</v>
      </c>
      <c r="X81" s="39" t="s">
        <v>81</v>
      </c>
      <c r="Y81" s="39" t="s">
        <v>81</v>
      </c>
      <c r="Z81" s="39" t="s">
        <v>81</v>
      </c>
      <c r="AA81" s="39" t="s">
        <v>81</v>
      </c>
      <c r="AB81" s="39" t="s">
        <v>81</v>
      </c>
      <c r="AC81" s="39" t="s">
        <v>81</v>
      </c>
      <c r="AD81" s="39" t="s">
        <v>81</v>
      </c>
      <c r="AE81" s="39" t="s">
        <v>81</v>
      </c>
      <c r="AF81" s="44" t="s">
        <v>81</v>
      </c>
      <c r="AG81" s="24"/>
    </row>
    <row r="82" spans="2:33" s="26" customFormat="1" ht="27.75" customHeight="1">
      <c r="B82" s="15">
        <v>75</v>
      </c>
      <c r="C82" s="16" t="s">
        <v>235</v>
      </c>
      <c r="D82" s="19" t="s">
        <v>236</v>
      </c>
      <c r="E82" s="13" t="s">
        <v>53</v>
      </c>
      <c r="F82" s="22">
        <v>13</v>
      </c>
      <c r="G82" s="22">
        <v>12</v>
      </c>
      <c r="H82" s="23">
        <v>6</v>
      </c>
      <c r="I82" s="22">
        <v>7</v>
      </c>
      <c r="J82" s="24">
        <v>8</v>
      </c>
      <c r="K82" s="24">
        <v>7</v>
      </c>
      <c r="L82" s="24">
        <v>9</v>
      </c>
      <c r="M82" s="24">
        <v>8</v>
      </c>
      <c r="N82" s="39">
        <f t="shared" si="2"/>
        <v>65</v>
      </c>
      <c r="O82" s="39" t="str">
        <f t="shared" si="36"/>
        <v>B</v>
      </c>
      <c r="P82" s="39">
        <f>G82*5</f>
        <v>60</v>
      </c>
      <c r="Q82" s="39" t="str">
        <f t="shared" si="38"/>
        <v>B-</v>
      </c>
      <c r="R82" s="39">
        <f t="shared" si="35"/>
        <v>60</v>
      </c>
      <c r="S82" s="40" t="str">
        <f t="shared" si="6"/>
        <v>B-</v>
      </c>
      <c r="T82" s="39">
        <f t="shared" si="44"/>
        <v>70</v>
      </c>
      <c r="U82" s="40" t="str">
        <f t="shared" si="7"/>
        <v>B+</v>
      </c>
      <c r="V82" s="39">
        <f t="shared" si="40"/>
        <v>80</v>
      </c>
      <c r="W82" s="40" t="str">
        <f t="shared" si="8"/>
        <v>A</v>
      </c>
      <c r="X82" s="39">
        <f t="shared" si="41"/>
        <v>70</v>
      </c>
      <c r="Y82" s="40" t="str">
        <f t="shared" si="9"/>
        <v>B+</v>
      </c>
      <c r="Z82" s="39">
        <f t="shared" si="42"/>
        <v>90</v>
      </c>
      <c r="AA82" s="40" t="str">
        <f t="shared" si="10"/>
        <v>A+</v>
      </c>
      <c r="AB82" s="39">
        <f t="shared" si="43"/>
        <v>80</v>
      </c>
      <c r="AC82" s="40" t="str">
        <f t="shared" si="11"/>
        <v>A</v>
      </c>
      <c r="AD82" s="39">
        <f t="shared" si="12"/>
        <v>575</v>
      </c>
      <c r="AE82" s="41">
        <f t="shared" si="13"/>
        <v>71.875</v>
      </c>
      <c r="AF82" s="44" t="str">
        <f t="shared" si="39"/>
        <v>Very Good</v>
      </c>
      <c r="AG82" s="24"/>
    </row>
    <row r="83" spans="2:33" s="26" customFormat="1" ht="27.75" customHeight="1">
      <c r="B83" s="15">
        <v>76</v>
      </c>
      <c r="C83" s="25" t="s">
        <v>237</v>
      </c>
      <c r="D83" s="19" t="s">
        <v>238</v>
      </c>
      <c r="E83" s="13" t="s">
        <v>99</v>
      </c>
      <c r="F83" s="22"/>
      <c r="G83" s="22"/>
      <c r="H83" s="23"/>
      <c r="I83" s="22"/>
      <c r="J83" s="24"/>
      <c r="K83" s="24"/>
      <c r="L83" s="24"/>
      <c r="M83" s="24"/>
      <c r="N83" s="39" t="s">
        <v>267</v>
      </c>
      <c r="O83" s="39" t="s">
        <v>267</v>
      </c>
      <c r="P83" s="39" t="s">
        <v>267</v>
      </c>
      <c r="Q83" s="39" t="s">
        <v>267</v>
      </c>
      <c r="R83" s="39" t="s">
        <v>267</v>
      </c>
      <c r="S83" s="39" t="s">
        <v>267</v>
      </c>
      <c r="T83" s="39" t="s">
        <v>267</v>
      </c>
      <c r="U83" s="39" t="s">
        <v>267</v>
      </c>
      <c r="V83" s="39" t="s">
        <v>267</v>
      </c>
      <c r="W83" s="39" t="s">
        <v>267</v>
      </c>
      <c r="X83" s="39" t="s">
        <v>267</v>
      </c>
      <c r="Y83" s="39" t="s">
        <v>267</v>
      </c>
      <c r="Z83" s="39" t="s">
        <v>267</v>
      </c>
      <c r="AA83" s="39" t="s">
        <v>267</v>
      </c>
      <c r="AB83" s="39" t="s">
        <v>267</v>
      </c>
      <c r="AC83" s="39" t="s">
        <v>267</v>
      </c>
      <c r="AD83" s="39" t="s">
        <v>267</v>
      </c>
      <c r="AE83" s="39" t="s">
        <v>267</v>
      </c>
      <c r="AF83" s="44" t="s">
        <v>267</v>
      </c>
      <c r="AG83" s="24"/>
    </row>
    <row r="84" spans="2:33" s="26" customFormat="1" ht="27.75" customHeight="1">
      <c r="B84" s="15">
        <v>77</v>
      </c>
      <c r="C84" s="16" t="s">
        <v>239</v>
      </c>
      <c r="D84" s="19">
        <v>197564801991</v>
      </c>
      <c r="E84" s="14" t="s">
        <v>24</v>
      </c>
      <c r="F84" s="22">
        <v>18</v>
      </c>
      <c r="G84" s="22">
        <v>17</v>
      </c>
      <c r="H84" s="23">
        <v>6</v>
      </c>
      <c r="I84" s="22">
        <v>7</v>
      </c>
      <c r="J84" s="24">
        <v>8</v>
      </c>
      <c r="K84" s="24">
        <v>8</v>
      </c>
      <c r="L84" s="24">
        <v>9</v>
      </c>
      <c r="M84" s="24">
        <v>8</v>
      </c>
      <c r="N84" s="39">
        <f t="shared" si="2"/>
        <v>90</v>
      </c>
      <c r="O84" s="39" t="str">
        <f t="shared" si="36"/>
        <v>A+</v>
      </c>
      <c r="P84" s="39">
        <f>G84*5</f>
        <v>85</v>
      </c>
      <c r="Q84" s="39" t="str">
        <f t="shared" si="38"/>
        <v>A+</v>
      </c>
      <c r="R84" s="39">
        <f t="shared" si="35"/>
        <v>60</v>
      </c>
      <c r="S84" s="40" t="str">
        <f t="shared" si="6"/>
        <v>B-</v>
      </c>
      <c r="T84" s="39">
        <f t="shared" si="44"/>
        <v>70</v>
      </c>
      <c r="U84" s="40" t="str">
        <f t="shared" si="7"/>
        <v>B+</v>
      </c>
      <c r="V84" s="39">
        <f t="shared" si="40"/>
        <v>80</v>
      </c>
      <c r="W84" s="40" t="str">
        <f t="shared" si="8"/>
        <v>A</v>
      </c>
      <c r="X84" s="39">
        <f t="shared" si="41"/>
        <v>80</v>
      </c>
      <c r="Y84" s="40" t="str">
        <f t="shared" si="9"/>
        <v>A</v>
      </c>
      <c r="Z84" s="39">
        <f t="shared" si="42"/>
        <v>90</v>
      </c>
      <c r="AA84" s="40" t="str">
        <f t="shared" si="10"/>
        <v>A+</v>
      </c>
      <c r="AB84" s="39">
        <f t="shared" si="43"/>
        <v>80</v>
      </c>
      <c r="AC84" s="40" t="str">
        <f t="shared" si="11"/>
        <v>A</v>
      </c>
      <c r="AD84" s="39">
        <f t="shared" si="12"/>
        <v>635</v>
      </c>
      <c r="AE84" s="41">
        <f t="shared" si="13"/>
        <v>79.375</v>
      </c>
      <c r="AF84" s="44" t="str">
        <f t="shared" si="39"/>
        <v>Very Good</v>
      </c>
      <c r="AG84" s="24"/>
    </row>
    <row r="85" spans="2:33" s="26" customFormat="1" ht="27.75" customHeight="1">
      <c r="B85" s="15">
        <v>78</v>
      </c>
      <c r="C85" s="25" t="s">
        <v>240</v>
      </c>
      <c r="D85" s="19" t="s">
        <v>241</v>
      </c>
      <c r="E85" s="13" t="s">
        <v>100</v>
      </c>
      <c r="F85" s="22"/>
      <c r="G85" s="22"/>
      <c r="H85" s="23"/>
      <c r="I85" s="22"/>
      <c r="J85" s="24"/>
      <c r="K85" s="24"/>
      <c r="L85" s="24"/>
      <c r="M85" s="24"/>
      <c r="N85" s="39" t="s">
        <v>267</v>
      </c>
      <c r="O85" s="39" t="s">
        <v>267</v>
      </c>
      <c r="P85" s="39" t="s">
        <v>267</v>
      </c>
      <c r="Q85" s="39" t="s">
        <v>267</v>
      </c>
      <c r="R85" s="39" t="s">
        <v>267</v>
      </c>
      <c r="S85" s="39" t="s">
        <v>267</v>
      </c>
      <c r="T85" s="39" t="s">
        <v>267</v>
      </c>
      <c r="U85" s="39" t="s">
        <v>267</v>
      </c>
      <c r="V85" s="39" t="s">
        <v>267</v>
      </c>
      <c r="W85" s="39" t="s">
        <v>267</v>
      </c>
      <c r="X85" s="39" t="s">
        <v>267</v>
      </c>
      <c r="Y85" s="39" t="s">
        <v>267</v>
      </c>
      <c r="Z85" s="39" t="s">
        <v>267</v>
      </c>
      <c r="AA85" s="39" t="s">
        <v>267</v>
      </c>
      <c r="AB85" s="39" t="s">
        <v>267</v>
      </c>
      <c r="AC85" s="39" t="s">
        <v>267</v>
      </c>
      <c r="AD85" s="39" t="s">
        <v>267</v>
      </c>
      <c r="AE85" s="39" t="s">
        <v>267</v>
      </c>
      <c r="AF85" s="44" t="s">
        <v>267</v>
      </c>
      <c r="AG85" s="24"/>
    </row>
    <row r="86" spans="2:33" s="26" customFormat="1" ht="27.75" customHeight="1">
      <c r="B86" s="15">
        <v>79</v>
      </c>
      <c r="C86" s="25" t="s">
        <v>242</v>
      </c>
      <c r="D86" s="19" t="s">
        <v>243</v>
      </c>
      <c r="E86" s="14" t="s">
        <v>38</v>
      </c>
      <c r="F86" s="31">
        <v>15</v>
      </c>
      <c r="G86" s="31">
        <v>13</v>
      </c>
      <c r="H86" s="32"/>
      <c r="I86" s="31"/>
      <c r="J86" s="33"/>
      <c r="K86" s="33"/>
      <c r="L86" s="33"/>
      <c r="M86" s="33"/>
      <c r="N86" s="39">
        <f t="shared" si="2"/>
        <v>75</v>
      </c>
      <c r="O86" s="39" t="str">
        <f t="shared" si="36"/>
        <v>A-</v>
      </c>
      <c r="P86" s="39">
        <f t="shared" ref="P86:P92" si="45">G86*5</f>
        <v>65</v>
      </c>
      <c r="Q86" s="39" t="str">
        <f t="shared" si="38"/>
        <v>B</v>
      </c>
      <c r="R86" s="39" t="s">
        <v>81</v>
      </c>
      <c r="S86" s="39" t="s">
        <v>81</v>
      </c>
      <c r="T86" s="39" t="s">
        <v>81</v>
      </c>
      <c r="U86" s="39" t="s">
        <v>81</v>
      </c>
      <c r="V86" s="39" t="s">
        <v>81</v>
      </c>
      <c r="W86" s="39" t="s">
        <v>81</v>
      </c>
      <c r="X86" s="39" t="s">
        <v>81</v>
      </c>
      <c r="Y86" s="39" t="s">
        <v>81</v>
      </c>
      <c r="Z86" s="39" t="s">
        <v>81</v>
      </c>
      <c r="AA86" s="39" t="s">
        <v>81</v>
      </c>
      <c r="AB86" s="39" t="s">
        <v>81</v>
      </c>
      <c r="AC86" s="39" t="s">
        <v>81</v>
      </c>
      <c r="AD86" s="39" t="s">
        <v>81</v>
      </c>
      <c r="AE86" s="39" t="s">
        <v>81</v>
      </c>
      <c r="AF86" s="44" t="s">
        <v>81</v>
      </c>
      <c r="AG86" s="24"/>
    </row>
    <row r="87" spans="2:33" s="26" customFormat="1" ht="27.75" customHeight="1">
      <c r="B87" s="15">
        <v>80</v>
      </c>
      <c r="C87" s="16" t="s">
        <v>244</v>
      </c>
      <c r="D87" s="19" t="s">
        <v>245</v>
      </c>
      <c r="E87" s="13" t="s">
        <v>41</v>
      </c>
      <c r="F87" s="22">
        <v>18</v>
      </c>
      <c r="G87" s="22">
        <v>17</v>
      </c>
      <c r="H87" s="23">
        <v>5</v>
      </c>
      <c r="I87" s="22">
        <v>7</v>
      </c>
      <c r="J87" s="24">
        <v>8</v>
      </c>
      <c r="K87" s="24">
        <v>7</v>
      </c>
      <c r="L87" s="24">
        <v>9</v>
      </c>
      <c r="M87" s="24">
        <v>9</v>
      </c>
      <c r="N87" s="39">
        <f t="shared" si="2"/>
        <v>90</v>
      </c>
      <c r="O87" s="39" t="str">
        <f t="shared" si="36"/>
        <v>A+</v>
      </c>
      <c r="P87" s="39">
        <f t="shared" si="45"/>
        <v>85</v>
      </c>
      <c r="Q87" s="39" t="str">
        <f t="shared" si="38"/>
        <v>A+</v>
      </c>
      <c r="R87" s="39">
        <f t="shared" si="35"/>
        <v>50</v>
      </c>
      <c r="S87" s="40" t="str">
        <f t="shared" si="6"/>
        <v>C</v>
      </c>
      <c r="T87" s="39">
        <f t="shared" si="44"/>
        <v>70</v>
      </c>
      <c r="U87" s="40" t="str">
        <f t="shared" si="7"/>
        <v>B+</v>
      </c>
      <c r="V87" s="39">
        <f t="shared" si="40"/>
        <v>80</v>
      </c>
      <c r="W87" s="40" t="str">
        <f t="shared" si="8"/>
        <v>A</v>
      </c>
      <c r="X87" s="39">
        <f t="shared" si="41"/>
        <v>70</v>
      </c>
      <c r="Y87" s="40" t="str">
        <f t="shared" si="9"/>
        <v>B+</v>
      </c>
      <c r="Z87" s="39">
        <f t="shared" si="42"/>
        <v>90</v>
      </c>
      <c r="AA87" s="40" t="str">
        <f t="shared" si="10"/>
        <v>A+</v>
      </c>
      <c r="AB87" s="39">
        <f t="shared" si="43"/>
        <v>90</v>
      </c>
      <c r="AC87" s="40" t="str">
        <f t="shared" si="11"/>
        <v>A+</v>
      </c>
      <c r="AD87" s="39">
        <f t="shared" si="12"/>
        <v>625</v>
      </c>
      <c r="AE87" s="41">
        <f t="shared" si="13"/>
        <v>78.125</v>
      </c>
      <c r="AF87" s="44" t="str">
        <f t="shared" si="39"/>
        <v>Very Good</v>
      </c>
      <c r="AG87" s="24"/>
    </row>
    <row r="88" spans="2:33" s="26" customFormat="1" ht="27.75" customHeight="1">
      <c r="B88" s="15">
        <v>81</v>
      </c>
      <c r="C88" s="16" t="s">
        <v>246</v>
      </c>
      <c r="D88" s="19" t="s">
        <v>247</v>
      </c>
      <c r="E88" s="14" t="s">
        <v>39</v>
      </c>
      <c r="F88" s="22">
        <v>20</v>
      </c>
      <c r="G88" s="22">
        <v>15</v>
      </c>
      <c r="H88" s="23">
        <v>6</v>
      </c>
      <c r="I88" s="22">
        <v>7</v>
      </c>
      <c r="J88" s="24">
        <v>6</v>
      </c>
      <c r="K88" s="24">
        <v>8</v>
      </c>
      <c r="L88" s="24">
        <v>8</v>
      </c>
      <c r="M88" s="24">
        <v>9</v>
      </c>
      <c r="N88" s="39">
        <f t="shared" si="2"/>
        <v>100</v>
      </c>
      <c r="O88" s="39" t="str">
        <f>IF(N88="-", "Absent", IF(N88&gt;=85, "A+", IF(N88&gt;=80, "A", IF(N88&gt;=75, "A-", IF(N88&gt;=70, "B+",IF(N88&gt;=65, "B", IF(N88&gt;=60, "B-", IF(N88&gt;=55, "C+", IF(N88&gt;=50, "C", IF(N88&gt;=45, "C-", IF(N88&gt;=39, "D+", IF(N88&gt;=35, "D", IF(N88&gt;=0, "F" )))))))))))))</f>
        <v>A+</v>
      </c>
      <c r="P88" s="39">
        <f t="shared" si="45"/>
        <v>75</v>
      </c>
      <c r="Q88" s="39" t="str">
        <f>IF(P88="-", "Absent", IF(P88&gt;=85, "A+", IF(P88&gt;=80, "A", IF(P88&gt;=75, "A-", IF(P88&gt;=70, "B+",IF(P88&gt;=65, "B", IF(P88&gt;=60, "B-", IF(P88&gt;=55, "C+", IF(P88&gt;=50, "C", IF(P88&gt;=45, "C-", IF(P88&gt;=39, "D+", IF(P88&gt;=35, "D", IF(P88&gt;=0, "F" )))))))))))))</f>
        <v>A-</v>
      </c>
      <c r="R88" s="39">
        <f t="shared" si="35"/>
        <v>60</v>
      </c>
      <c r="S88" s="40" t="str">
        <f t="shared" si="6"/>
        <v>B-</v>
      </c>
      <c r="T88" s="39">
        <f t="shared" si="44"/>
        <v>70</v>
      </c>
      <c r="U88" s="40" t="str">
        <f t="shared" si="7"/>
        <v>B+</v>
      </c>
      <c r="V88" s="39">
        <f t="shared" si="40"/>
        <v>60</v>
      </c>
      <c r="W88" s="40" t="str">
        <f t="shared" si="8"/>
        <v>B-</v>
      </c>
      <c r="X88" s="39">
        <f t="shared" si="41"/>
        <v>80</v>
      </c>
      <c r="Y88" s="40" t="str">
        <f t="shared" si="9"/>
        <v>A</v>
      </c>
      <c r="Z88" s="39">
        <f t="shared" si="42"/>
        <v>80</v>
      </c>
      <c r="AA88" s="40" t="str">
        <f t="shared" si="10"/>
        <v>A</v>
      </c>
      <c r="AB88" s="39">
        <f t="shared" si="43"/>
        <v>90</v>
      </c>
      <c r="AC88" s="40" t="str">
        <f t="shared" si="11"/>
        <v>A+</v>
      </c>
      <c r="AD88" s="39">
        <f t="shared" si="12"/>
        <v>615</v>
      </c>
      <c r="AE88" s="41">
        <f t="shared" si="13"/>
        <v>76.875</v>
      </c>
      <c r="AF88" s="44" t="str">
        <f t="shared" ref="AF88:AF98" si="46">IF(AE88="-", "Absent", IF(AE88&gt;=85, "Excellent Pass", IF(AE88&gt;=70, "Very Good", IF(AE88&gt;=55, "Credit Pass", IF(AE88&gt;=40, "Ordinary Pass",IF(AE88&gt;=39, "Fail"))))))</f>
        <v>Very Good</v>
      </c>
      <c r="AG88" s="24"/>
    </row>
    <row r="89" spans="2:33" s="26" customFormat="1" ht="27.75" customHeight="1">
      <c r="B89" s="15">
        <v>82</v>
      </c>
      <c r="C89" s="16" t="s">
        <v>248</v>
      </c>
      <c r="D89" s="19" t="s">
        <v>249</v>
      </c>
      <c r="E89" s="13" t="s">
        <v>8</v>
      </c>
      <c r="F89" s="22">
        <v>16</v>
      </c>
      <c r="G89" s="22">
        <v>15</v>
      </c>
      <c r="H89" s="23">
        <v>6</v>
      </c>
      <c r="I89" s="22">
        <v>7</v>
      </c>
      <c r="J89" s="24">
        <v>8</v>
      </c>
      <c r="K89" s="24">
        <v>8</v>
      </c>
      <c r="L89" s="24">
        <v>8</v>
      </c>
      <c r="M89" s="24">
        <v>8</v>
      </c>
      <c r="N89" s="39">
        <f t="shared" si="2"/>
        <v>80</v>
      </c>
      <c r="O89" s="39" t="str">
        <f t="shared" ref="O89:O98" si="47">IF(N89="-", "Absent", IF(N89&gt;=85, "A+", IF(N89&gt;=80, "A", IF(N89&gt;=75, "A-", IF(N89&gt;=70, "B+",IF(N89&gt;=65, "B", IF(N89&gt;=60, "B-", IF(N89&gt;=55, "C+", IF(N89&gt;=50, "C", IF(N89&gt;=45, "C-", IF(N89&gt;=39, "D+", IF(N89&gt;=35, "D", IF(N89&gt;=0, "F" )))))))))))))</f>
        <v>A</v>
      </c>
      <c r="P89" s="39">
        <f t="shared" si="45"/>
        <v>75</v>
      </c>
      <c r="Q89" s="39" t="str">
        <f t="shared" ref="Q89:Q98" si="48">IF(P89="-", "Absent", IF(P89&gt;=85, "A+", IF(P89&gt;=80, "A", IF(P89&gt;=75, "A-", IF(P89&gt;=70, "B+",IF(P89&gt;=65, "B", IF(P89&gt;=60, "B-", IF(P89&gt;=55, "C+", IF(P89&gt;=50, "C", IF(P89&gt;=45, "C-", IF(P89&gt;=39, "D+", IF(P89&gt;=35, "D", IF(P89&gt;=0, "F" )))))))))))))</f>
        <v>A-</v>
      </c>
      <c r="R89" s="39">
        <f t="shared" si="35"/>
        <v>60</v>
      </c>
      <c r="S89" s="40" t="str">
        <f t="shared" si="6"/>
        <v>B-</v>
      </c>
      <c r="T89" s="39">
        <f t="shared" si="44"/>
        <v>70</v>
      </c>
      <c r="U89" s="40" t="str">
        <f t="shared" si="7"/>
        <v>B+</v>
      </c>
      <c r="V89" s="39">
        <f t="shared" si="40"/>
        <v>80</v>
      </c>
      <c r="W89" s="40" t="str">
        <f t="shared" si="8"/>
        <v>A</v>
      </c>
      <c r="X89" s="39">
        <f t="shared" si="41"/>
        <v>80</v>
      </c>
      <c r="Y89" s="40" t="str">
        <f t="shared" si="9"/>
        <v>A</v>
      </c>
      <c r="Z89" s="39">
        <f t="shared" si="42"/>
        <v>80</v>
      </c>
      <c r="AA89" s="40" t="str">
        <f t="shared" si="10"/>
        <v>A</v>
      </c>
      <c r="AB89" s="39">
        <f t="shared" si="43"/>
        <v>80</v>
      </c>
      <c r="AC89" s="40" t="str">
        <f t="shared" si="11"/>
        <v>A</v>
      </c>
      <c r="AD89" s="39">
        <f t="shared" si="12"/>
        <v>605</v>
      </c>
      <c r="AE89" s="41">
        <f t="shared" si="13"/>
        <v>75.625</v>
      </c>
      <c r="AF89" s="44" t="str">
        <f t="shared" si="46"/>
        <v>Very Good</v>
      </c>
      <c r="AG89" s="24"/>
    </row>
    <row r="90" spans="2:33" s="26" customFormat="1" ht="27.75" customHeight="1">
      <c r="B90" s="15">
        <v>83</v>
      </c>
      <c r="C90" s="16" t="s">
        <v>250</v>
      </c>
      <c r="D90" s="19" t="s">
        <v>251</v>
      </c>
      <c r="E90" s="14" t="s">
        <v>55</v>
      </c>
      <c r="F90" s="22">
        <v>15</v>
      </c>
      <c r="G90" s="22">
        <v>13</v>
      </c>
      <c r="H90" s="23">
        <v>6</v>
      </c>
      <c r="I90" s="22">
        <v>8</v>
      </c>
      <c r="J90" s="24">
        <v>8</v>
      </c>
      <c r="K90" s="24">
        <v>8</v>
      </c>
      <c r="L90" s="24">
        <v>8</v>
      </c>
      <c r="M90" s="24">
        <v>9</v>
      </c>
      <c r="N90" s="39">
        <f t="shared" ref="N90:N97" si="49">F90*5</f>
        <v>75</v>
      </c>
      <c r="O90" s="39" t="str">
        <f t="shared" si="47"/>
        <v>A-</v>
      </c>
      <c r="P90" s="39">
        <f t="shared" si="45"/>
        <v>65</v>
      </c>
      <c r="Q90" s="39" t="str">
        <f t="shared" si="48"/>
        <v>B</v>
      </c>
      <c r="R90" s="39">
        <f t="shared" si="35"/>
        <v>60</v>
      </c>
      <c r="S90" s="40" t="str">
        <f t="shared" ref="S90:S98" si="50">IF(R90="-", "Absent", IF(R90&gt;=85, "A+", IF(R90&gt;=80, "A", IF(R90&gt;=75, "A-", IF(R90&gt;=70, "B+",IF(R90&gt;=65, "B", IF(R90&gt;=60, "B-", IF(R90&gt;=55, "C+", IF(R90&gt;=50, "C", IF(R90&gt;=45, "C-", IF(R90&gt;=39, "D+", IF(R90&gt;=35, "D", IF(R90&gt;=0, "F" )))))))))))))</f>
        <v>B-</v>
      </c>
      <c r="T90" s="39">
        <f t="shared" si="44"/>
        <v>80</v>
      </c>
      <c r="U90" s="40" t="str">
        <f t="shared" ref="U90:U98" si="51">IF(T90="-", "Absent", IF(T90&gt;=85, "A+", IF(T90&gt;=80, "A", IF(T90&gt;=75, "A-", IF(T90&gt;=70, "B+",IF(T90&gt;=65, "B", IF(T90&gt;=60, "B-", IF(T90&gt;=55, "C+", IF(T90&gt;=50, "C", IF(T90&gt;=45, "C-", IF(T90&gt;=39, "D+", IF(T90&gt;=35, "D", IF(T90&gt;=0, "F" )))))))))))))</f>
        <v>A</v>
      </c>
      <c r="V90" s="39">
        <f t="shared" si="40"/>
        <v>80</v>
      </c>
      <c r="W90" s="40" t="str">
        <f t="shared" ref="W90:W98" si="52">IF(V90="-", "Absent", IF(V90&gt;=85, "A+", IF(V90&gt;=80, "A", IF(V90&gt;=75, "A-", IF(V90&gt;=70, "B+",IF(V90&gt;=65, "B", IF(V90&gt;=60, "B-", IF(V90&gt;=55, "C+", IF(V90&gt;=50, "C", IF(V90&gt;=45, "C-", IF(V90&gt;=39, "D+", IF(V90&gt;=35, "D", IF(V90&gt;=0, "F" )))))))))))))</f>
        <v>A</v>
      </c>
      <c r="X90" s="39">
        <f t="shared" si="41"/>
        <v>80</v>
      </c>
      <c r="Y90" s="40" t="str">
        <f t="shared" ref="Y90:Y98" si="53">IF(X90="-", "Absent", IF(X90&gt;=85, "A+", IF(X90&gt;=80, "A", IF(X90&gt;=75, "A-", IF(X90&gt;=70, "B+",IF(X90&gt;=65, "B", IF(X90&gt;=60, "B-", IF(X90&gt;=55, "C+", IF(X90&gt;=50, "C", IF(X90&gt;=45, "C-", IF(X90&gt;=39, "D+", IF(X90&gt;=35, "D", IF(X90&gt;=0, "F" )))))))))))))</f>
        <v>A</v>
      </c>
      <c r="Z90" s="39">
        <f t="shared" si="42"/>
        <v>80</v>
      </c>
      <c r="AA90" s="40" t="str">
        <f t="shared" ref="AA90:AA98" si="54">IF(Z90="-", "Absent", IF(Z90&gt;=85, "A+", IF(Z90&gt;=80, "A", IF(Z90&gt;=75, "A-", IF(Z90&gt;=70, "B+",IF(Z90&gt;=65, "B", IF(Z90&gt;=60, "B-", IF(Z90&gt;=55, "C+", IF(Z90&gt;=50, "C", IF(Z90&gt;=45, "C-", IF(Z90&gt;=39, "D+", IF(Z90&gt;=35, "D", IF(Z90&gt;=0, "F" )))))))))))))</f>
        <v>A</v>
      </c>
      <c r="AB90" s="39">
        <f t="shared" si="43"/>
        <v>90</v>
      </c>
      <c r="AC90" s="40" t="str">
        <f t="shared" ref="AC90:AC98" si="55">IF(AB90="-", "Absent", IF(AB90&gt;=85, "A+", IF(AB90&gt;=80, "A", IF(AB90&gt;=75, "A-", IF(AB90&gt;=70, "B+",IF(AB90&gt;=65, "B", IF(AB90&gt;=60, "B-", IF(AB90&gt;=55, "C+", IF(AB90&gt;=50, "C", IF(AB90&gt;=45, "C-", IF(AB90&gt;=39, "D+", IF(AB90&gt;=35, "D", IF(AB90&gt;=0, "F" )))))))))))))</f>
        <v>A+</v>
      </c>
      <c r="AD90" s="39">
        <f t="shared" ref="AD90:AD97" si="56">N90+P90+R90+T90+V90+X90+Z90+AB90</f>
        <v>610</v>
      </c>
      <c r="AE90" s="41">
        <f t="shared" ref="AE90:AE97" si="57">AD90/8</f>
        <v>76.25</v>
      </c>
      <c r="AF90" s="44" t="str">
        <f t="shared" si="46"/>
        <v>Very Good</v>
      </c>
      <c r="AG90" s="24"/>
    </row>
    <row r="91" spans="2:33" s="26" customFormat="1" ht="27.75" customHeight="1">
      <c r="B91" s="15">
        <v>84</v>
      </c>
      <c r="C91" s="16" t="s">
        <v>252</v>
      </c>
      <c r="D91" s="19" t="s">
        <v>253</v>
      </c>
      <c r="E91" s="13" t="s">
        <v>10</v>
      </c>
      <c r="F91" s="22">
        <v>11</v>
      </c>
      <c r="G91" s="22">
        <v>8</v>
      </c>
      <c r="H91" s="23">
        <v>6</v>
      </c>
      <c r="I91" s="22">
        <v>7</v>
      </c>
      <c r="J91" s="24">
        <v>7</v>
      </c>
      <c r="K91" s="24">
        <v>7</v>
      </c>
      <c r="L91" s="24">
        <v>7</v>
      </c>
      <c r="M91" s="24">
        <v>8</v>
      </c>
      <c r="N91" s="39">
        <f t="shared" si="49"/>
        <v>55</v>
      </c>
      <c r="O91" s="39" t="str">
        <f t="shared" si="47"/>
        <v>C+</v>
      </c>
      <c r="P91" s="39">
        <f t="shared" si="45"/>
        <v>40</v>
      </c>
      <c r="Q91" s="39" t="str">
        <f t="shared" si="48"/>
        <v>D+</v>
      </c>
      <c r="R91" s="39">
        <f t="shared" si="35"/>
        <v>60</v>
      </c>
      <c r="S91" s="40" t="str">
        <f t="shared" si="50"/>
        <v>B-</v>
      </c>
      <c r="T91" s="39">
        <f t="shared" si="44"/>
        <v>70</v>
      </c>
      <c r="U91" s="40" t="str">
        <f t="shared" si="51"/>
        <v>B+</v>
      </c>
      <c r="V91" s="39">
        <f t="shared" si="40"/>
        <v>70</v>
      </c>
      <c r="W91" s="40" t="str">
        <f t="shared" si="52"/>
        <v>B+</v>
      </c>
      <c r="X91" s="39">
        <f t="shared" si="41"/>
        <v>70</v>
      </c>
      <c r="Y91" s="40" t="str">
        <f t="shared" si="53"/>
        <v>B+</v>
      </c>
      <c r="Z91" s="39">
        <f t="shared" si="42"/>
        <v>70</v>
      </c>
      <c r="AA91" s="40" t="str">
        <f t="shared" si="54"/>
        <v>B+</v>
      </c>
      <c r="AB91" s="39">
        <f t="shared" si="43"/>
        <v>80</v>
      </c>
      <c r="AC91" s="40" t="str">
        <f t="shared" si="55"/>
        <v>A</v>
      </c>
      <c r="AD91" s="39">
        <f t="shared" si="56"/>
        <v>515</v>
      </c>
      <c r="AE91" s="41">
        <f t="shared" si="57"/>
        <v>64.375</v>
      </c>
      <c r="AF91" s="44" t="str">
        <f t="shared" si="46"/>
        <v>Credit Pass</v>
      </c>
      <c r="AG91" s="24"/>
    </row>
    <row r="92" spans="2:33" s="26" customFormat="1" ht="27.75" customHeight="1">
      <c r="B92" s="15">
        <v>85</v>
      </c>
      <c r="C92" s="16" t="s">
        <v>254</v>
      </c>
      <c r="D92" s="19" t="s">
        <v>255</v>
      </c>
      <c r="E92" s="14" t="s">
        <v>11</v>
      </c>
      <c r="F92" s="22">
        <v>9</v>
      </c>
      <c r="G92" s="22">
        <v>14</v>
      </c>
      <c r="H92" s="23">
        <v>7</v>
      </c>
      <c r="I92" s="22">
        <v>8</v>
      </c>
      <c r="J92" s="24">
        <v>8</v>
      </c>
      <c r="K92" s="24">
        <v>8</v>
      </c>
      <c r="L92" s="24">
        <v>8</v>
      </c>
      <c r="M92" s="24">
        <v>8</v>
      </c>
      <c r="N92" s="39">
        <f t="shared" si="49"/>
        <v>45</v>
      </c>
      <c r="O92" s="39" t="str">
        <f t="shared" si="47"/>
        <v>C-</v>
      </c>
      <c r="P92" s="39">
        <f t="shared" si="45"/>
        <v>70</v>
      </c>
      <c r="Q92" s="39" t="str">
        <f t="shared" si="48"/>
        <v>B+</v>
      </c>
      <c r="R92" s="39">
        <f t="shared" si="35"/>
        <v>70</v>
      </c>
      <c r="S92" s="40" t="str">
        <f t="shared" si="50"/>
        <v>B+</v>
      </c>
      <c r="T92" s="39">
        <f t="shared" si="44"/>
        <v>80</v>
      </c>
      <c r="U92" s="40" t="str">
        <f t="shared" si="51"/>
        <v>A</v>
      </c>
      <c r="V92" s="39">
        <f t="shared" si="40"/>
        <v>80</v>
      </c>
      <c r="W92" s="40" t="str">
        <f t="shared" si="52"/>
        <v>A</v>
      </c>
      <c r="X92" s="39">
        <f t="shared" si="41"/>
        <v>80</v>
      </c>
      <c r="Y92" s="40" t="str">
        <f t="shared" si="53"/>
        <v>A</v>
      </c>
      <c r="Z92" s="39">
        <f t="shared" si="42"/>
        <v>80</v>
      </c>
      <c r="AA92" s="40" t="str">
        <f t="shared" si="54"/>
        <v>A</v>
      </c>
      <c r="AB92" s="39">
        <f t="shared" si="43"/>
        <v>80</v>
      </c>
      <c r="AC92" s="40" t="str">
        <f t="shared" si="55"/>
        <v>A</v>
      </c>
      <c r="AD92" s="39">
        <f t="shared" si="56"/>
        <v>585</v>
      </c>
      <c r="AE92" s="41">
        <f t="shared" si="57"/>
        <v>73.125</v>
      </c>
      <c r="AF92" s="44" t="str">
        <f t="shared" si="46"/>
        <v>Very Good</v>
      </c>
      <c r="AG92" s="24"/>
    </row>
    <row r="93" spans="2:33" s="26" customFormat="1" ht="27.75" customHeight="1">
      <c r="B93" s="15">
        <v>86</v>
      </c>
      <c r="C93" s="16" t="s">
        <v>101</v>
      </c>
      <c r="D93" s="19">
        <v>197661503356</v>
      </c>
      <c r="E93" s="13" t="s">
        <v>102</v>
      </c>
      <c r="F93" s="22"/>
      <c r="G93" s="22"/>
      <c r="H93" s="23"/>
      <c r="I93" s="22"/>
      <c r="J93" s="24"/>
      <c r="K93" s="24"/>
      <c r="L93" s="24"/>
      <c r="M93" s="24"/>
      <c r="N93" s="39" t="s">
        <v>267</v>
      </c>
      <c r="O93" s="39" t="s">
        <v>267</v>
      </c>
      <c r="P93" s="39" t="s">
        <v>267</v>
      </c>
      <c r="Q93" s="39" t="s">
        <v>267</v>
      </c>
      <c r="R93" s="39" t="s">
        <v>267</v>
      </c>
      <c r="S93" s="39" t="s">
        <v>267</v>
      </c>
      <c r="T93" s="39" t="s">
        <v>267</v>
      </c>
      <c r="U93" s="39" t="s">
        <v>267</v>
      </c>
      <c r="V93" s="39" t="s">
        <v>267</v>
      </c>
      <c r="W93" s="39" t="s">
        <v>267</v>
      </c>
      <c r="X93" s="39" t="s">
        <v>267</v>
      </c>
      <c r="Y93" s="39" t="s">
        <v>267</v>
      </c>
      <c r="Z93" s="39" t="s">
        <v>267</v>
      </c>
      <c r="AA93" s="39" t="s">
        <v>267</v>
      </c>
      <c r="AB93" s="39" t="s">
        <v>267</v>
      </c>
      <c r="AC93" s="39" t="s">
        <v>267</v>
      </c>
      <c r="AD93" s="39" t="s">
        <v>267</v>
      </c>
      <c r="AE93" s="39" t="s">
        <v>267</v>
      </c>
      <c r="AF93" s="44" t="s">
        <v>267</v>
      </c>
      <c r="AG93" s="24"/>
    </row>
    <row r="94" spans="2:33" s="26" customFormat="1" ht="27.75" customHeight="1">
      <c r="B94" s="15">
        <v>87</v>
      </c>
      <c r="C94" s="25" t="s">
        <v>256</v>
      </c>
      <c r="D94" s="19" t="s">
        <v>257</v>
      </c>
      <c r="E94" s="14" t="s">
        <v>103</v>
      </c>
      <c r="F94" s="22"/>
      <c r="G94" s="22"/>
      <c r="H94" s="23"/>
      <c r="I94" s="22"/>
      <c r="J94" s="24"/>
      <c r="K94" s="24"/>
      <c r="L94" s="24"/>
      <c r="M94" s="24"/>
      <c r="N94" s="39" t="s">
        <v>267</v>
      </c>
      <c r="O94" s="39" t="s">
        <v>267</v>
      </c>
      <c r="P94" s="39" t="s">
        <v>267</v>
      </c>
      <c r="Q94" s="39" t="s">
        <v>267</v>
      </c>
      <c r="R94" s="39" t="s">
        <v>267</v>
      </c>
      <c r="S94" s="39" t="s">
        <v>267</v>
      </c>
      <c r="T94" s="39" t="s">
        <v>267</v>
      </c>
      <c r="U94" s="39" t="s">
        <v>267</v>
      </c>
      <c r="V94" s="39" t="s">
        <v>267</v>
      </c>
      <c r="W94" s="39" t="s">
        <v>267</v>
      </c>
      <c r="X94" s="39" t="s">
        <v>267</v>
      </c>
      <c r="Y94" s="39" t="s">
        <v>267</v>
      </c>
      <c r="Z94" s="39" t="s">
        <v>267</v>
      </c>
      <c r="AA94" s="39" t="s">
        <v>267</v>
      </c>
      <c r="AB94" s="39" t="s">
        <v>267</v>
      </c>
      <c r="AC94" s="39" t="s">
        <v>267</v>
      </c>
      <c r="AD94" s="39" t="s">
        <v>267</v>
      </c>
      <c r="AE94" s="39" t="s">
        <v>267</v>
      </c>
      <c r="AF94" s="44" t="s">
        <v>267</v>
      </c>
      <c r="AG94" s="24"/>
    </row>
    <row r="95" spans="2:33" s="26" customFormat="1" ht="27.75" customHeight="1">
      <c r="B95" s="15">
        <v>88</v>
      </c>
      <c r="C95" s="16" t="s">
        <v>258</v>
      </c>
      <c r="D95" s="19" t="s">
        <v>259</v>
      </c>
      <c r="E95" s="13" t="s">
        <v>72</v>
      </c>
      <c r="F95" s="22">
        <v>10</v>
      </c>
      <c r="G95" s="22">
        <v>9</v>
      </c>
      <c r="H95" s="23">
        <v>4</v>
      </c>
      <c r="I95" s="22">
        <v>5</v>
      </c>
      <c r="J95" s="24">
        <v>6</v>
      </c>
      <c r="K95" s="24">
        <v>8</v>
      </c>
      <c r="L95" s="24">
        <v>9</v>
      </c>
      <c r="M95" s="24">
        <v>9</v>
      </c>
      <c r="N95" s="39">
        <f t="shared" si="49"/>
        <v>50</v>
      </c>
      <c r="O95" s="39" t="str">
        <f t="shared" si="47"/>
        <v>C</v>
      </c>
      <c r="P95" s="39">
        <f>G95*5</f>
        <v>45</v>
      </c>
      <c r="Q95" s="39" t="str">
        <f t="shared" si="48"/>
        <v>C-</v>
      </c>
      <c r="R95" s="39">
        <f t="shared" si="35"/>
        <v>40</v>
      </c>
      <c r="S95" s="40" t="str">
        <f t="shared" si="50"/>
        <v>D+</v>
      </c>
      <c r="T95" s="39">
        <f t="shared" si="44"/>
        <v>50</v>
      </c>
      <c r="U95" s="40" t="str">
        <f t="shared" si="51"/>
        <v>C</v>
      </c>
      <c r="V95" s="39">
        <f t="shared" si="40"/>
        <v>60</v>
      </c>
      <c r="W95" s="40" t="str">
        <f t="shared" si="52"/>
        <v>B-</v>
      </c>
      <c r="X95" s="39">
        <f t="shared" si="41"/>
        <v>80</v>
      </c>
      <c r="Y95" s="40" t="str">
        <f t="shared" si="53"/>
        <v>A</v>
      </c>
      <c r="Z95" s="39">
        <f t="shared" si="42"/>
        <v>90</v>
      </c>
      <c r="AA95" s="40" t="str">
        <f t="shared" si="54"/>
        <v>A+</v>
      </c>
      <c r="AB95" s="39">
        <f t="shared" si="43"/>
        <v>90</v>
      </c>
      <c r="AC95" s="40" t="str">
        <f t="shared" si="55"/>
        <v>A+</v>
      </c>
      <c r="AD95" s="39">
        <f t="shared" si="56"/>
        <v>505</v>
      </c>
      <c r="AE95" s="41">
        <f t="shared" si="57"/>
        <v>63.125</v>
      </c>
      <c r="AF95" s="44" t="str">
        <f t="shared" si="46"/>
        <v>Credit Pass</v>
      </c>
      <c r="AG95" s="24"/>
    </row>
    <row r="96" spans="2:33" s="26" customFormat="1" ht="27.75" customHeight="1">
      <c r="B96" s="15">
        <v>89</v>
      </c>
      <c r="C96" s="16" t="s">
        <v>260</v>
      </c>
      <c r="D96" s="19" t="s">
        <v>261</v>
      </c>
      <c r="E96" s="14" t="s">
        <v>0</v>
      </c>
      <c r="F96" s="22">
        <v>19</v>
      </c>
      <c r="G96" s="22">
        <v>15</v>
      </c>
      <c r="H96" s="23">
        <v>8</v>
      </c>
      <c r="I96" s="22">
        <v>8</v>
      </c>
      <c r="J96" s="24">
        <v>9</v>
      </c>
      <c r="K96" s="24">
        <v>9</v>
      </c>
      <c r="L96" s="24">
        <v>10</v>
      </c>
      <c r="M96" s="24">
        <v>10</v>
      </c>
      <c r="N96" s="39">
        <f t="shared" si="49"/>
        <v>95</v>
      </c>
      <c r="O96" s="39" t="str">
        <f t="shared" si="47"/>
        <v>A+</v>
      </c>
      <c r="P96" s="39">
        <f>G96*5</f>
        <v>75</v>
      </c>
      <c r="Q96" s="39" t="str">
        <f t="shared" si="48"/>
        <v>A-</v>
      </c>
      <c r="R96" s="39">
        <f t="shared" si="35"/>
        <v>80</v>
      </c>
      <c r="S96" s="40" t="str">
        <f t="shared" si="50"/>
        <v>A</v>
      </c>
      <c r="T96" s="39">
        <f t="shared" si="44"/>
        <v>80</v>
      </c>
      <c r="U96" s="40" t="str">
        <f t="shared" si="51"/>
        <v>A</v>
      </c>
      <c r="V96" s="39">
        <f t="shared" si="40"/>
        <v>90</v>
      </c>
      <c r="W96" s="40" t="str">
        <f t="shared" si="52"/>
        <v>A+</v>
      </c>
      <c r="X96" s="39">
        <f t="shared" si="41"/>
        <v>90</v>
      </c>
      <c r="Y96" s="40" t="str">
        <f t="shared" si="53"/>
        <v>A+</v>
      </c>
      <c r="Z96" s="39">
        <f t="shared" si="42"/>
        <v>100</v>
      </c>
      <c r="AA96" s="40" t="str">
        <f t="shared" si="54"/>
        <v>A+</v>
      </c>
      <c r="AB96" s="39">
        <f t="shared" si="43"/>
        <v>100</v>
      </c>
      <c r="AC96" s="40" t="str">
        <f t="shared" si="55"/>
        <v>A+</v>
      </c>
      <c r="AD96" s="39">
        <f t="shared" si="56"/>
        <v>710</v>
      </c>
      <c r="AE96" s="41">
        <f>AD96/8</f>
        <v>88.75</v>
      </c>
      <c r="AF96" s="44" t="str">
        <f t="shared" si="46"/>
        <v>Excellent Pass</v>
      </c>
      <c r="AG96" s="24"/>
    </row>
    <row r="97" spans="2:33" s="26" customFormat="1" ht="27.75" customHeight="1">
      <c r="B97" s="15">
        <v>90</v>
      </c>
      <c r="C97" s="16" t="s">
        <v>262</v>
      </c>
      <c r="D97" s="19" t="s">
        <v>263</v>
      </c>
      <c r="E97" s="13" t="s">
        <v>3</v>
      </c>
      <c r="F97" s="22">
        <v>19</v>
      </c>
      <c r="G97" s="22">
        <v>18</v>
      </c>
      <c r="H97" s="23">
        <v>8</v>
      </c>
      <c r="I97" s="22">
        <v>8</v>
      </c>
      <c r="J97" s="24">
        <v>8</v>
      </c>
      <c r="K97" s="24">
        <v>9</v>
      </c>
      <c r="L97" s="24">
        <v>9</v>
      </c>
      <c r="M97" s="24">
        <v>9</v>
      </c>
      <c r="N97" s="39">
        <f t="shared" si="49"/>
        <v>95</v>
      </c>
      <c r="O97" s="39" t="str">
        <f t="shared" si="47"/>
        <v>A+</v>
      </c>
      <c r="P97" s="39">
        <f>G97*5</f>
        <v>90</v>
      </c>
      <c r="Q97" s="39" t="str">
        <f t="shared" si="48"/>
        <v>A+</v>
      </c>
      <c r="R97" s="39">
        <f t="shared" si="35"/>
        <v>80</v>
      </c>
      <c r="S97" s="40" t="str">
        <f t="shared" si="50"/>
        <v>A</v>
      </c>
      <c r="T97" s="39">
        <f t="shared" si="44"/>
        <v>80</v>
      </c>
      <c r="U97" s="40" t="str">
        <f t="shared" si="51"/>
        <v>A</v>
      </c>
      <c r="V97" s="39">
        <f t="shared" si="40"/>
        <v>80</v>
      </c>
      <c r="W97" s="40" t="str">
        <f t="shared" si="52"/>
        <v>A</v>
      </c>
      <c r="X97" s="39">
        <f t="shared" si="41"/>
        <v>90</v>
      </c>
      <c r="Y97" s="40" t="str">
        <f t="shared" si="53"/>
        <v>A+</v>
      </c>
      <c r="Z97" s="39">
        <f t="shared" si="42"/>
        <v>90</v>
      </c>
      <c r="AA97" s="40" t="str">
        <f t="shared" si="54"/>
        <v>A+</v>
      </c>
      <c r="AB97" s="39">
        <f t="shared" si="43"/>
        <v>90</v>
      </c>
      <c r="AC97" s="40" t="str">
        <f t="shared" si="55"/>
        <v>A+</v>
      </c>
      <c r="AD97" s="39">
        <f t="shared" si="56"/>
        <v>695</v>
      </c>
      <c r="AE97" s="41">
        <f t="shared" si="57"/>
        <v>86.875</v>
      </c>
      <c r="AF97" s="44" t="str">
        <f t="shared" si="46"/>
        <v>Excellent Pass</v>
      </c>
      <c r="AG97" s="24"/>
    </row>
    <row r="98" spans="2:33">
      <c r="B98" s="37" t="s">
        <v>269</v>
      </c>
      <c r="C98" s="16" t="s">
        <v>264</v>
      </c>
      <c r="D98" s="19" t="s">
        <v>265</v>
      </c>
      <c r="E98" s="14" t="s">
        <v>59</v>
      </c>
      <c r="F98" s="22">
        <v>15</v>
      </c>
      <c r="G98" s="22">
        <v>14</v>
      </c>
      <c r="H98" s="23">
        <v>2</v>
      </c>
      <c r="I98" s="23">
        <v>1</v>
      </c>
      <c r="J98" s="24">
        <v>3</v>
      </c>
      <c r="K98" s="24">
        <v>2</v>
      </c>
      <c r="L98" s="24">
        <v>3</v>
      </c>
      <c r="M98" s="24">
        <v>2</v>
      </c>
      <c r="N98" s="39">
        <f>F98*5</f>
        <v>75</v>
      </c>
      <c r="O98" s="39" t="str">
        <f t="shared" si="47"/>
        <v>A-</v>
      </c>
      <c r="P98" s="39">
        <f>G98*5</f>
        <v>70</v>
      </c>
      <c r="Q98" s="39" t="str">
        <f t="shared" si="48"/>
        <v>B+</v>
      </c>
      <c r="R98" s="39">
        <v>35</v>
      </c>
      <c r="S98" s="40" t="str">
        <f t="shared" si="50"/>
        <v>D</v>
      </c>
      <c r="T98" s="39">
        <v>35</v>
      </c>
      <c r="U98" s="40" t="str">
        <f t="shared" si="51"/>
        <v>D</v>
      </c>
      <c r="V98" s="39">
        <v>35</v>
      </c>
      <c r="W98" s="40" t="str">
        <f t="shared" si="52"/>
        <v>D</v>
      </c>
      <c r="X98" s="39">
        <v>35</v>
      </c>
      <c r="Y98" s="40" t="str">
        <f t="shared" si="53"/>
        <v>D</v>
      </c>
      <c r="Z98" s="39">
        <v>35</v>
      </c>
      <c r="AA98" s="40" t="str">
        <f t="shared" si="54"/>
        <v>D</v>
      </c>
      <c r="AB98" s="39">
        <v>35</v>
      </c>
      <c r="AC98" s="40" t="str">
        <f t="shared" si="55"/>
        <v>D</v>
      </c>
      <c r="AD98" s="39">
        <f>N98+P98+R98+T98+V98+X98+Z98+AB98</f>
        <v>355</v>
      </c>
      <c r="AE98" s="41">
        <f>AD98/8</f>
        <v>44.375</v>
      </c>
      <c r="AF98" s="44" t="str">
        <f t="shared" si="46"/>
        <v>Ordinary Pass</v>
      </c>
      <c r="AG98" s="24"/>
    </row>
    <row r="101" spans="2:33">
      <c r="D101" s="43"/>
    </row>
  </sheetData>
  <mergeCells count="20">
    <mergeCell ref="AG6:AG7"/>
    <mergeCell ref="AF6:AF7"/>
    <mergeCell ref="AE6:AE7"/>
    <mergeCell ref="AD6:AD7"/>
    <mergeCell ref="B1:AF1"/>
    <mergeCell ref="B3:AF3"/>
    <mergeCell ref="B4:AF4"/>
    <mergeCell ref="B5:AF5"/>
    <mergeCell ref="N6:O6"/>
    <mergeCell ref="P6:Q6"/>
    <mergeCell ref="R6:S6"/>
    <mergeCell ref="T6:U6"/>
    <mergeCell ref="V6:W6"/>
    <mergeCell ref="X6:Y6"/>
    <mergeCell ref="Z6:AA6"/>
    <mergeCell ref="AB6:AC6"/>
    <mergeCell ref="E6:E7"/>
    <mergeCell ref="D6:D7"/>
    <mergeCell ref="C6:C7"/>
    <mergeCell ref="B6:B7"/>
  </mergeCells>
  <phoneticPr fontId="16" type="noConversion"/>
  <pageMargins left="0" right="0" top="0" bottom="0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Final Marks</vt:lpstr>
      <vt:lpstr>'Final Marks'!Print_Area</vt:lpstr>
      <vt:lpstr>'Final Marks'!Print_Titles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Chathura</dc:creator>
  <cp:lastModifiedBy>Yasiru Jayasinghe</cp:lastModifiedBy>
  <cp:lastPrinted>2026-02-03T03:22:15Z</cp:lastPrinted>
  <dcterms:created xsi:type="dcterms:W3CDTF">2025-11-12T09:19:40Z</dcterms:created>
  <dcterms:modified xsi:type="dcterms:W3CDTF">2026-08-11T17:57:37Z</dcterms:modified>
</cp:coreProperties>
</file>